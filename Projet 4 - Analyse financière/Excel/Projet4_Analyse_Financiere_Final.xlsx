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BC\Desktop\PORTFOLIO_DATA_ANALYST\Projet 4 - Analyse financière\Données\"/>
    </mc:Choice>
  </mc:AlternateContent>
  <xr:revisionPtr revIDLastSave="0" documentId="13_ncr:1_{E4B0B716-02DD-4AD5-9365-28886B721305}" xr6:coauthVersionLast="47" xr6:coauthVersionMax="47" xr10:uidLastSave="{00000000-0000-0000-0000-000000000000}"/>
  <bookViews>
    <workbookView xWindow="-108" yWindow="-108" windowWidth="23256" windowHeight="13896" firstSheet="8" activeTab="11" xr2:uid="{00000000-000D-0000-FFFF-FFFF00000000}"/>
  </bookViews>
  <sheets>
    <sheet name="Transactions" sheetId="1" r:id="rId1"/>
    <sheet name="Dictionnaire_Donnees" sheetId="2" r:id="rId2"/>
    <sheet name="Analyse_Financiere" sheetId="4" r:id="rId3"/>
    <sheet name="Analyse_Villes" sheetId="6" r:id="rId4"/>
    <sheet name="Analyse_Produits" sheetId="7" r:id="rId5"/>
    <sheet name="Analyse_Temporelle" sheetId="8" r:id="rId6"/>
    <sheet name="Analyse_Commerciaux." sheetId="9" r:id="rId7"/>
    <sheet name="Analyse_Categories." sheetId="10" r:id="rId8"/>
    <sheet name="Donnees_Nettoyees" sheetId="3" r:id="rId9"/>
    <sheet name="Synthese_Resultats." sheetId="11" r:id="rId10"/>
    <sheet name="Feuil11" sheetId="13" r:id="rId11"/>
    <sheet name="Dashboard" sheetId="12" r:id="rId12"/>
  </sheets>
  <definedNames>
    <definedName name="DonnéesExternes_1" localSheetId="8" hidden="1">Donnees_Nettoyees!$A$1:$T$241</definedName>
  </definedNames>
  <calcPr calcId="191029"/>
  <pivotCaches>
    <pivotCache cacheId="32" r:id="rId1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" i="4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D94E30-2B43-47E5-9C93-4A80B44D3CD1}" keepAlive="1" name="Requête - Transactions_Financieres" description="Connexion à la requête « Transactions_Financieres » dans le classeur." type="5" refreshedVersion="7" background="1" saveData="1">
    <dbPr connection="Provider=Microsoft.Mashup.OleDb.1;Data Source=$Workbook$;Location=Transactions_Financieres;Extended Properties=&quot;&quot;" command="SELECT * FROM [Transactions_Financieres]"/>
  </connection>
</connections>
</file>

<file path=xl/sharedStrings.xml><?xml version="1.0" encoding="utf-8"?>
<sst xmlns="http://schemas.openxmlformats.org/spreadsheetml/2006/main" count="3077" uniqueCount="363">
  <si>
    <t>ID_Transaction</t>
  </si>
  <si>
    <t>Date</t>
  </si>
  <si>
    <t>Ville</t>
  </si>
  <si>
    <t>Produit</t>
  </si>
  <si>
    <t>Catégorie</t>
  </si>
  <si>
    <t>Commercial</t>
  </si>
  <si>
    <t>Quantité</t>
  </si>
  <si>
    <t>Prix_Unitaire</t>
  </si>
  <si>
    <t>Coût_Unitaire</t>
  </si>
  <si>
    <t>Chiffre_Affaires</t>
  </si>
  <si>
    <t>Coût_Total</t>
  </si>
  <si>
    <t>Frais_Transport</t>
  </si>
  <si>
    <t>Frais_Marketing</t>
  </si>
  <si>
    <t>Autres_Dépenses</t>
  </si>
  <si>
    <t>Dépenses_Totales</t>
  </si>
  <si>
    <t>Bénéfice</t>
  </si>
  <si>
    <t>Année</t>
  </si>
  <si>
    <t>Mois</t>
  </si>
  <si>
    <t>Mois_Nom</t>
  </si>
  <si>
    <t>Marge_%</t>
  </si>
  <si>
    <t>TRX0106</t>
  </si>
  <si>
    <t>Thiès</t>
  </si>
  <si>
    <t>Power Bank</t>
  </si>
  <si>
    <t>Accessoires</t>
  </si>
  <si>
    <t>Fatou</t>
  </si>
  <si>
    <t>January</t>
  </si>
  <si>
    <t>TRX0182</t>
  </si>
  <si>
    <t>Dakar</t>
  </si>
  <si>
    <t>Tablette</t>
  </si>
  <si>
    <t>Téléphonie</t>
  </si>
  <si>
    <t>Moussa</t>
  </si>
  <si>
    <t>TRX0179</t>
  </si>
  <si>
    <t>Ziguinchor</t>
  </si>
  <si>
    <t>TRX0076</t>
  </si>
  <si>
    <t>Saint-Louis</t>
  </si>
  <si>
    <t>Ordinateur portable</t>
  </si>
  <si>
    <t>Informatique</t>
  </si>
  <si>
    <t>Cheikh</t>
  </si>
  <si>
    <t>TRX0020</t>
  </si>
  <si>
    <t>Casque Bluetooth</t>
  </si>
  <si>
    <t>Aminata</t>
  </si>
  <si>
    <t>TRX0068</t>
  </si>
  <si>
    <t>Ibrahima</t>
  </si>
  <si>
    <t>TRX0175</t>
  </si>
  <si>
    <t>TRX0144</t>
  </si>
  <si>
    <t>Mariama</t>
  </si>
  <si>
    <t>February</t>
  </si>
  <si>
    <t>TRX0021</t>
  </si>
  <si>
    <t>TRX0117</t>
  </si>
  <si>
    <t>Kaolack</t>
  </si>
  <si>
    <t>TRX0185</t>
  </si>
  <si>
    <t>TRX0104</t>
  </si>
  <si>
    <t>TRX0046</t>
  </si>
  <si>
    <t>TRX0183</t>
  </si>
  <si>
    <t>TRX0217</t>
  </si>
  <si>
    <t>TRX0214</t>
  </si>
  <si>
    <t>Imprimante</t>
  </si>
  <si>
    <t>TRX0178</t>
  </si>
  <si>
    <t>Smartphone</t>
  </si>
  <si>
    <t>TRX0128</t>
  </si>
  <si>
    <t>TRX0210</t>
  </si>
  <si>
    <t>TRX0231</t>
  </si>
  <si>
    <t>TRX0037</t>
  </si>
  <si>
    <t>TRX0083</t>
  </si>
  <si>
    <t>TRX0191</t>
  </si>
  <si>
    <t>TRX0085</t>
  </si>
  <si>
    <t>March</t>
  </si>
  <si>
    <t>TRX0013</t>
  </si>
  <si>
    <t>TRX0197</t>
  </si>
  <si>
    <t>TRX0047</t>
  </si>
  <si>
    <t>TRX0008</t>
  </si>
  <si>
    <t>TRX0111</t>
  </si>
  <si>
    <t>TRX0146</t>
  </si>
  <si>
    <t>TRX0164</t>
  </si>
  <si>
    <t>TRX0173</t>
  </si>
  <si>
    <t>TRX0165</t>
  </si>
  <si>
    <t>TRX0161</t>
  </si>
  <si>
    <t>TRX0138</t>
  </si>
  <si>
    <t>TRX0095</t>
  </si>
  <si>
    <t>April</t>
  </si>
  <si>
    <t>TRX0204</t>
  </si>
  <si>
    <t>TRX0137</t>
  </si>
  <si>
    <t>TRX0124</t>
  </si>
  <si>
    <t>TRX0109</t>
  </si>
  <si>
    <t>TRX0189</t>
  </si>
  <si>
    <t>TRX0155</t>
  </si>
  <si>
    <t>TRX0042</t>
  </si>
  <si>
    <t>TRX0220</t>
  </si>
  <si>
    <t>TRX0001</t>
  </si>
  <si>
    <t>TRX0147</t>
  </si>
  <si>
    <t>TRX0099</t>
  </si>
  <si>
    <t>May</t>
  </si>
  <si>
    <t>TRX0196</t>
  </si>
  <si>
    <t>TRX0121</t>
  </si>
  <si>
    <t>TRX0081</t>
  </si>
  <si>
    <t>TRX0105</t>
  </si>
  <si>
    <t>TRX0062</t>
  </si>
  <si>
    <t>TRX0236</t>
  </si>
  <si>
    <t>TRX0232</t>
  </si>
  <si>
    <t>TRX0224</t>
  </si>
  <si>
    <t>TRX0172</t>
  </si>
  <si>
    <t>TRX0058</t>
  </si>
  <si>
    <t>TRX0218</t>
  </si>
  <si>
    <t>TRX0052</t>
  </si>
  <si>
    <t>TRX0066</t>
  </si>
  <si>
    <t>June</t>
  </si>
  <si>
    <t>TRX0193</t>
  </si>
  <si>
    <t>TRX0125</t>
  </si>
  <si>
    <t>TRX0162</t>
  </si>
  <si>
    <t>TRX0041</t>
  </si>
  <si>
    <t>TRX0119</t>
  </si>
  <si>
    <t>TRX0089</t>
  </si>
  <si>
    <t>TRX0067</t>
  </si>
  <si>
    <t>TRX0154</t>
  </si>
  <si>
    <t>TRX0086</t>
  </si>
  <si>
    <t>TRX0130</t>
  </si>
  <si>
    <t>TRX0131</t>
  </si>
  <si>
    <t>TRX0184</t>
  </si>
  <si>
    <t>July</t>
  </si>
  <si>
    <t>TRX0082</t>
  </si>
  <si>
    <t>TRX0237</t>
  </si>
  <si>
    <t>TRX0160</t>
  </si>
  <si>
    <t>TRX0186</t>
  </si>
  <si>
    <t>TRX0075</t>
  </si>
  <si>
    <t>TRX0226</t>
  </si>
  <si>
    <t>TRX0088</t>
  </si>
  <si>
    <t>TRX0074</t>
  </si>
  <si>
    <t>August</t>
  </si>
  <si>
    <t>TRX0177</t>
  </si>
  <si>
    <t>TRX0054</t>
  </si>
  <si>
    <t>TRX0061</t>
  </si>
  <si>
    <t>TRX0148</t>
  </si>
  <si>
    <t>TRX0043</t>
  </si>
  <si>
    <t>TRX0065</t>
  </si>
  <si>
    <t>TRX0198</t>
  </si>
  <si>
    <t>TRX0167</t>
  </si>
  <si>
    <t>TRX0120</t>
  </si>
  <si>
    <t>TRX0084</t>
  </si>
  <si>
    <t>TRX0116</t>
  </si>
  <si>
    <t>TRX0087</t>
  </si>
  <si>
    <t>TRX0129</t>
  </si>
  <si>
    <t>TRX0122</t>
  </si>
  <si>
    <t>TRX0030</t>
  </si>
  <si>
    <t>TRX0026</t>
  </si>
  <si>
    <t>TRX0057</t>
  </si>
  <si>
    <t>September</t>
  </si>
  <si>
    <t>TRX0098</t>
  </si>
  <si>
    <t>TRX0180</t>
  </si>
  <si>
    <t>TRX0017</t>
  </si>
  <si>
    <t>TRX0069</t>
  </si>
  <si>
    <t>TRX0073</t>
  </si>
  <si>
    <t>TRX0239</t>
  </si>
  <si>
    <t>TRX0040</t>
  </si>
  <si>
    <t>TRX0025</t>
  </si>
  <si>
    <t>TRX0078</t>
  </si>
  <si>
    <t>TRX0112</t>
  </si>
  <si>
    <t>TRX0005</t>
  </si>
  <si>
    <t>TRX0221</t>
  </si>
  <si>
    <t>TRX0097</t>
  </si>
  <si>
    <t>October</t>
  </si>
  <si>
    <t>TRX0092</t>
  </si>
  <si>
    <t>TRX0101</t>
  </si>
  <si>
    <t>TRX0004</t>
  </si>
  <si>
    <t>TRX0036</t>
  </si>
  <si>
    <t>TRX0203</t>
  </si>
  <si>
    <t>TRX0034</t>
  </si>
  <si>
    <t>TRX0229</t>
  </si>
  <si>
    <t>TRX0110</t>
  </si>
  <si>
    <t>TRX0028</t>
  </si>
  <si>
    <t>TRX0235</t>
  </si>
  <si>
    <t>November</t>
  </si>
  <si>
    <t>TRX0090</t>
  </si>
  <si>
    <t>TRX0143</t>
  </si>
  <si>
    <t>TRX0019</t>
  </si>
  <si>
    <t>TRX0140</t>
  </si>
  <si>
    <t>TRX0211</t>
  </si>
  <si>
    <t>TRX0151</t>
  </si>
  <si>
    <t>TRX0010</t>
  </si>
  <si>
    <t>TRX0157</t>
  </si>
  <si>
    <t>TRX0233</t>
  </si>
  <si>
    <t>TRX0050</t>
  </si>
  <si>
    <t>TRX0091</t>
  </si>
  <si>
    <t>TRX0145</t>
  </si>
  <si>
    <t>TRX0152</t>
  </si>
  <si>
    <t>TRX0135</t>
  </si>
  <si>
    <t>TRX0009</t>
  </si>
  <si>
    <t>TRX0149</t>
  </si>
  <si>
    <t>December</t>
  </si>
  <si>
    <t>TRX0163</t>
  </si>
  <si>
    <t>TRX0168</t>
  </si>
  <si>
    <t>TRX0024</t>
  </si>
  <si>
    <t>TRX0208</t>
  </si>
  <si>
    <t>TRX0174</t>
  </si>
  <si>
    <t>TRX0080</t>
  </si>
  <si>
    <t>TRX0132</t>
  </si>
  <si>
    <t>TRX0006</t>
  </si>
  <si>
    <t>TRX0071</t>
  </si>
  <si>
    <t>TRX0199</t>
  </si>
  <si>
    <t>TRX0039</t>
  </si>
  <si>
    <t>TRX0216</t>
  </si>
  <si>
    <t>TRX0103</t>
  </si>
  <si>
    <t>TRX0064</t>
  </si>
  <si>
    <t>TRX0222</t>
  </si>
  <si>
    <t>TRX0007</t>
  </si>
  <si>
    <t>TRX0114</t>
  </si>
  <si>
    <t>TRX0027</t>
  </si>
  <si>
    <t>TRX0212</t>
  </si>
  <si>
    <t>TRX0115</t>
  </si>
  <si>
    <t>TRX0032</t>
  </si>
  <si>
    <t>TRX0194</t>
  </si>
  <si>
    <t>TRX0107</t>
  </si>
  <si>
    <t>TRX0127</t>
  </si>
  <si>
    <t>TRX0207</t>
  </si>
  <si>
    <t>TRX0238</t>
  </si>
  <si>
    <t>TRX0048</t>
  </si>
  <si>
    <t>TRX0200</t>
  </si>
  <si>
    <t>TRX0094</t>
  </si>
  <si>
    <t>TRX0096</t>
  </si>
  <si>
    <t>TRX0118</t>
  </si>
  <si>
    <t>TRX0206</t>
  </si>
  <si>
    <t>TRX0234</t>
  </si>
  <si>
    <t>TRX0223</t>
  </si>
  <si>
    <t>TRX0002</t>
  </si>
  <si>
    <t>TRX0166</t>
  </si>
  <si>
    <t>TRX0063</t>
  </si>
  <si>
    <t>TRX0070</t>
  </si>
  <si>
    <t>TRX0023</t>
  </si>
  <si>
    <t>TRX0045</t>
  </si>
  <si>
    <t>TRX0153</t>
  </si>
  <si>
    <t>TRX0187</t>
  </si>
  <si>
    <t>TRX0192</t>
  </si>
  <si>
    <t>TRX0169</t>
  </si>
  <si>
    <t>TRX0113</t>
  </si>
  <si>
    <t>TRX0038</t>
  </si>
  <si>
    <t>TRX0126</t>
  </si>
  <si>
    <t>TRX0134</t>
  </si>
  <si>
    <t>TRX0190</t>
  </si>
  <si>
    <t>TRX0056</t>
  </si>
  <si>
    <t>TRX0170</t>
  </si>
  <si>
    <t>TRX0215</t>
  </si>
  <si>
    <t>TRX0133</t>
  </si>
  <si>
    <t>TRX0225</t>
  </si>
  <si>
    <t>TRX0123</t>
  </si>
  <si>
    <t>TRX0213</t>
  </si>
  <si>
    <t>TRX0100</t>
  </si>
  <si>
    <t>TRX0176</t>
  </si>
  <si>
    <t>TRX0018</t>
  </si>
  <si>
    <t>TRX0029</t>
  </si>
  <si>
    <t>TRX0060</t>
  </si>
  <si>
    <t>TRX0072</t>
  </si>
  <si>
    <t>TRX0079</t>
  </si>
  <si>
    <t>TRX0108</t>
  </si>
  <si>
    <t>TRX0227</t>
  </si>
  <si>
    <t>TRX0156</t>
  </si>
  <si>
    <t>TRX0202</t>
  </si>
  <si>
    <t>TRX0219</t>
  </si>
  <si>
    <t>TRX0181</t>
  </si>
  <si>
    <t>TRX0015</t>
  </si>
  <si>
    <t>TRX0158</t>
  </si>
  <si>
    <t>TRX0159</t>
  </si>
  <si>
    <t>TRX0012</t>
  </si>
  <si>
    <t>TRX0209</t>
  </si>
  <si>
    <t>TRX0051</t>
  </si>
  <si>
    <t>TRX0201</t>
  </si>
  <si>
    <t>TRX0188</t>
  </si>
  <si>
    <t>TRX0055</t>
  </si>
  <si>
    <t>TRX0016</t>
  </si>
  <si>
    <t>TRX0044</t>
  </si>
  <si>
    <t>TRX0014</t>
  </si>
  <si>
    <t>TRX0230</t>
  </si>
  <si>
    <t>TRX0059</t>
  </si>
  <si>
    <t>TRX0003</t>
  </si>
  <si>
    <t>TRX0136</t>
  </si>
  <si>
    <t>TRX0077</t>
  </si>
  <si>
    <t>TRX0035</t>
  </si>
  <si>
    <t>TRX0141</t>
  </si>
  <si>
    <t>TRX0142</t>
  </si>
  <si>
    <t>TRX0150</t>
  </si>
  <si>
    <t>TRX0011</t>
  </si>
  <si>
    <t>TRX0195</t>
  </si>
  <si>
    <t>TRX0139</t>
  </si>
  <si>
    <t>TRX0033</t>
  </si>
  <si>
    <t>TRX0205</t>
  </si>
  <si>
    <t>TRX0049</t>
  </si>
  <si>
    <t>TRX0022</t>
  </si>
  <si>
    <t>TRX0171</t>
  </si>
  <si>
    <t>TRX0240</t>
  </si>
  <si>
    <t>TRX0228</t>
  </si>
  <si>
    <t>TRX0053</t>
  </si>
  <si>
    <t>TRX0102</t>
  </si>
  <si>
    <t>TRX0031</t>
  </si>
  <si>
    <t>TRX0093</t>
  </si>
  <si>
    <t>Colonne</t>
  </si>
  <si>
    <t>Description</t>
  </si>
  <si>
    <t>Identifiant unique de chaque transaction</t>
  </si>
  <si>
    <t>Date de la transaction</t>
  </si>
  <si>
    <t>Ville où la vente a été réalisée</t>
  </si>
  <si>
    <t>Produit vendu</t>
  </si>
  <si>
    <t>Catégorie du produit</t>
  </si>
  <si>
    <t>Commercial responsable de la vente</t>
  </si>
  <si>
    <t>Nombre d'unités vendues</t>
  </si>
  <si>
    <t>Prix de vente d'une unité</t>
  </si>
  <si>
    <t>Coût d'achat d'une unité</t>
  </si>
  <si>
    <t>Quantité × Prix unitaire</t>
  </si>
  <si>
    <t>Quantité × Coût unitaire</t>
  </si>
  <si>
    <t>Frais logistiques liés à la transaction</t>
  </si>
  <si>
    <t>Dépenses marketing attribuées</t>
  </si>
  <si>
    <t>Autres frais opérationnels</t>
  </si>
  <si>
    <t>Total des coûts et dépenses</t>
  </si>
  <si>
    <t>Chiffre d'affaires − Dépenses totales</t>
  </si>
  <si>
    <t>Année de la transaction</t>
  </si>
  <si>
    <t>Numéro du mois</t>
  </si>
  <si>
    <t>Nom du mois</t>
  </si>
  <si>
    <t>Pourcentage de bénéfice sur le chiffre d'affaires</t>
  </si>
  <si>
    <t>Somme de Dépenses_Totales</t>
  </si>
  <si>
    <t>Somme de Bénéfice</t>
  </si>
  <si>
    <t>Somme de Chiffre_Affaires</t>
  </si>
  <si>
    <t>Marge globale</t>
  </si>
  <si>
    <t xml:space="preserve"> Bénéfice total</t>
  </si>
  <si>
    <t>Chiffre_Affaires total</t>
  </si>
  <si>
    <t>Étiquettes de lignes</t>
  </si>
  <si>
    <t>Total général</t>
  </si>
  <si>
    <t>Région</t>
  </si>
  <si>
    <t>Chiffre_Affaires_Total</t>
  </si>
  <si>
    <t>Somme de Marge_Régionale</t>
  </si>
  <si>
    <t>Somme de Marge par produit</t>
  </si>
  <si>
    <t>janvier</t>
  </si>
  <si>
    <t>Fevrier</t>
  </si>
  <si>
    <t>Mars</t>
  </si>
  <si>
    <t>Avril</t>
  </si>
  <si>
    <t>Mai</t>
  </si>
  <si>
    <t>juin</t>
  </si>
  <si>
    <t>juillet</t>
  </si>
  <si>
    <t>Aout</t>
  </si>
  <si>
    <t>Septembre</t>
  </si>
  <si>
    <t>Octobre</t>
  </si>
  <si>
    <t>Novembre</t>
  </si>
  <si>
    <t>Décembre</t>
  </si>
  <si>
    <t>marge par catégorie</t>
  </si>
  <si>
    <t>Chiffre_Affaires Total</t>
  </si>
  <si>
    <t xml:space="preserve"> Marge commercial</t>
  </si>
  <si>
    <t xml:space="preserve"> Chiffre_Affaires Total</t>
  </si>
  <si>
    <t>Synthèse des résultats financiers</t>
  </si>
  <si>
    <t>Indicateur</t>
  </si>
  <si>
    <t>Résultat</t>
  </si>
  <si>
    <t>Chiffre d'affaires total</t>
  </si>
  <si>
    <t>362 475 901 F CFA</t>
  </si>
  <si>
    <t>Dépenses totales</t>
  </si>
  <si>
    <t>287 159 742 F CFA</t>
  </si>
  <si>
    <t>Bénéfice total</t>
  </si>
  <si>
    <t>75 316 159 F CFA</t>
  </si>
  <si>
    <t>Ville avec le meilleur bénéfice</t>
  </si>
  <si>
    <t>Mois avec le meilleur CA</t>
  </si>
  <si>
    <t>Juillet</t>
  </si>
  <si>
    <t>Commercial avec le meilleur bénéfice</t>
  </si>
  <si>
    <t>Catégorie avec la meilleure marge</t>
  </si>
  <si>
    <t>Produit avec le meilleur bénéfice</t>
  </si>
  <si>
    <t>Produit avec la meilleure marge</t>
  </si>
  <si>
    <t>CA total:  362 475 901 F CFA</t>
  </si>
  <si>
    <t>Dépenses:  287 159 742 F CFA</t>
  </si>
  <si>
    <t>Bénéfice: 75 316 159 F CFA</t>
  </si>
  <si>
    <t>Marge:20,78 %</t>
  </si>
  <si>
    <t xml:space="preserve">    DASHBOARD — ANALYSE FINANCIÈRE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</si>
</sst>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70" formatCode="_-* #,##0\ [$F CFA-280C]_-;\-* #,##0\ [$F CFA-280C]_-;_-* &quot;-&quot;??\ [$F CFA-280C]_-;_-@_-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1" fillId="0" borderId="2" xfId="0" applyFont="1" applyBorder="1" applyAlignment="1">
      <alignment horizontal="center" vertical="top"/>
    </xf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170" fontId="0" fillId="0" borderId="0" xfId="0" applyNumberFormat="1"/>
    <xf numFmtId="170" fontId="0" fillId="0" borderId="0" xfId="0" applyNumberForma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2" fontId="0" fillId="0" borderId="0" xfId="1" applyNumberFormat="1" applyFont="1"/>
    <xf numFmtId="0" fontId="0" fillId="0" borderId="0" xfId="0" applyAlignment="1">
      <alignment horizontal="left"/>
    </xf>
    <xf numFmtId="9" fontId="0" fillId="0" borderId="0" xfId="0" applyNumberFormat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2">
    <cellStyle name="Normal" xfId="0" builtinId="0"/>
    <cellStyle name="Pourcentage" xfId="1" builtinId="5"/>
  </cellStyles>
  <dxfs count="42"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70" formatCode="_-* #,##0\ [$F CFA-280C]_-;\-* #,##0\ [$F CFA-280C]_-;_-* &quot;-&quot;??\ [$F CFA-280C]_-;_-@_-"/>
    </dxf>
    <dxf>
      <numFmt numFmtId="13" formatCode="0%"/>
    </dxf>
    <dxf>
      <numFmt numFmtId="13" formatCode="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70" formatCode="_-* #,##0\ [$F CFA-280C]_-;\-* #,##0\ [$F CFA-280C]_-;_-* &quot;-&quot;??\ [$F CFA-280C]_-;_-@_-"/>
    </dxf>
    <dxf>
      <numFmt numFmtId="170" formatCode="_-* #,##0\ [$F CFA-280C]_-;\-* #,##0\ [$F CFA-280C]_-;_-* &quot;-&quot;??\ [$F CFA-280C]_-;_-@_-"/>
    </dxf>
    <dxf>
      <numFmt numFmtId="170" formatCode="_-* #,##0\ [$F CFA-280C]_-;\-* #,##0\ [$F CFA-280C]_-;_-* &quot;-&quot;??\ [$F CFA-280C]_-;_-@_-"/>
    </dxf>
    <dxf>
      <numFmt numFmtId="170" formatCode="_-* #,##0\ [$F CFA-280C]_-;\-* #,##0\ [$F CFA-280C]_-;_-* &quot;-&quot;??\ [$F CFA-280C]_-;_-@_-"/>
    </dxf>
    <dxf>
      <numFmt numFmtId="170" formatCode="_-* #,##0\ [$F CFA-280C]_-;\-* #,##0\ [$F CFA-280C]_-;_-* &quot;-&quot;??\ [$F CFA-280C]_-;_-@_-"/>
    </dxf>
    <dxf>
      <numFmt numFmtId="170" formatCode="_-* #,##0\ [$F CFA-280C]_-;\-* #,##0\ [$F CFA-280C]_-;_-* &quot;-&quot;??\ [$F CFA-280C]_-;_-@_-"/>
    </dxf>
    <dxf>
      <numFmt numFmtId="13" formatCode="0%"/>
    </dxf>
    <dxf>
      <numFmt numFmtId="13" formatCode="0%"/>
    </dxf>
    <dxf>
      <numFmt numFmtId="0" formatCode="General"/>
    </dxf>
    <dxf>
      <numFmt numFmtId="170" formatCode="_-* #,##0\ [$F CFA-280C]_-;\-* #,##0\ [$F CFA-280C]_-;_-* &quot;-&quot;??\ [$F CFA-280C]_-;_-@_-"/>
    </dxf>
    <dxf>
      <numFmt numFmtId="170" formatCode="_-* #,##0\ [$F CFA-280C]_-;\-* #,##0\ [$F CFA-280C]_-;_-* &quot;-&quot;??\ [$F CFA-280C]_-;_-@_-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numFmt numFmtId="170" formatCode="_-* #,##0\ [$F CFA-280C]_-;\-* #,##0\ [$F CFA-280C]_-;_-* &quot;-&quot;??\ [$F CFA-280C]_-;_-@_-"/>
    </dxf>
    <dxf>
      <numFmt numFmtId="170" formatCode="_-* #,##0\ [$F CFA-280C]_-;\-* #,##0\ [$F CFA-280C]_-;_-* &quot;-&quot;??\ [$F CFA-280C]_-;_-@_-"/>
    </dxf>
    <dxf>
      <numFmt numFmtId="170" formatCode="_-* #,##0\ [$F CFA-280C]_-;\-* #,##0\ [$F CFA-280C]_-;_-* &quot;-&quot;??\ [$F CFA-280C]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[Donnees_Projet4_Analyse_Financiere.xlsx]Analyse_Villes!Tableau croisé dynamique14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SN" sz="1400" b="0" i="0" u="none" strike="noStrike" baseline="0"/>
              <a:t>Chiffre d'affaires par ville</a:t>
            </a:r>
            <a:endParaRPr lang="fr-S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32524759405074366"/>
          <c:y val="0.24115740740740746"/>
          <c:w val="0.604178258967629"/>
          <c:h val="0.595102799650043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Analyse_Villes!$H$3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Analyse_Villes!$G$4:$G$9</c:f>
              <c:strCache>
                <c:ptCount val="5"/>
                <c:pt idx="0">
                  <c:v>Dakar</c:v>
                </c:pt>
                <c:pt idx="1">
                  <c:v>Kaolack</c:v>
                </c:pt>
                <c:pt idx="2">
                  <c:v>Saint-Louis</c:v>
                </c:pt>
                <c:pt idx="3">
                  <c:v>Thiès</c:v>
                </c:pt>
                <c:pt idx="4">
                  <c:v>Ziguinchor</c:v>
                </c:pt>
              </c:strCache>
            </c:strRef>
          </c:cat>
          <c:val>
            <c:numRef>
              <c:f>Analyse_Villes!$H$4:$H$9</c:f>
              <c:numCache>
                <c:formatCode>_-* #,##0\ [$F CFA-280C]_-;\-* #,##0\ [$F CFA-280C]_-;_-* "-"??\ [$F CFA-280C]_-;_-@_-</c:formatCode>
                <c:ptCount val="5"/>
                <c:pt idx="0">
                  <c:v>74135565</c:v>
                </c:pt>
                <c:pt idx="1">
                  <c:v>76084475</c:v>
                </c:pt>
                <c:pt idx="2">
                  <c:v>91703404</c:v>
                </c:pt>
                <c:pt idx="3">
                  <c:v>62935712</c:v>
                </c:pt>
                <c:pt idx="4">
                  <c:v>57616745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20-4011-9943-C23F1C8C95B1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0062632"/>
        <c:axId val="990063288"/>
      </c:barChart>
      <c:catAx>
        <c:axId val="990062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SN"/>
                  <a:t>Villes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90063288"/>
        <c:crosses val="autoZero"/>
        <c:auto val="1"/>
        <c:lblAlgn val="ctr"/>
        <c:lblOffset val="100"/>
        <c:noMultiLvlLbl val="0"/>
      </c:catAx>
      <c:valAx>
        <c:axId val="990063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SN"/>
                  <a:t>Chiffre</a:t>
                </a:r>
                <a:r>
                  <a:rPr lang="fr-SN" baseline="0"/>
                  <a:t> d'affaires Total</a:t>
                </a:r>
              </a:p>
              <a:p>
                <a:pPr>
                  <a:defRPr/>
                </a:pPr>
                <a:endParaRPr lang="fr-S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_-* #,##0\ [$F CFA-280C]_-;\-* #,##0\ [$F CFA-280C]_-;_-* &quot;-&quot;??\ [$F CFA-280C]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90062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[Donnees_Projet4_Analyse_Financiere.xlsx]Analyse_Produits!Tableau croisé dynamique15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SN" sz="1400" b="0" i="0" u="none" strike="noStrike" baseline="0"/>
              <a:t>Bénéfice par produit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800978027046775"/>
          <c:y val="0.16224846894138234"/>
          <c:w val="0.72799153410644835"/>
          <c:h val="0.631304895943125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Analyse_Produits!$H$3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Analyse_Produits!$G$4:$G$10</c:f>
              <c:strCache>
                <c:ptCount val="6"/>
                <c:pt idx="0">
                  <c:v>Casque Bluetooth</c:v>
                </c:pt>
                <c:pt idx="1">
                  <c:v>Imprimante</c:v>
                </c:pt>
                <c:pt idx="2">
                  <c:v>Ordinateur portable</c:v>
                </c:pt>
                <c:pt idx="3">
                  <c:v>Power Bank</c:v>
                </c:pt>
                <c:pt idx="4">
                  <c:v>Smartphone</c:v>
                </c:pt>
                <c:pt idx="5">
                  <c:v>Tablette</c:v>
                </c:pt>
              </c:strCache>
            </c:strRef>
          </c:cat>
          <c:val>
            <c:numRef>
              <c:f>Analyse_Produits!$H$4:$H$10</c:f>
              <c:numCache>
                <c:formatCode>General</c:formatCode>
                <c:ptCount val="6"/>
                <c:pt idx="0">
                  <c:v>2262911</c:v>
                </c:pt>
                <c:pt idx="1">
                  <c:v>10627536</c:v>
                </c:pt>
                <c:pt idx="2">
                  <c:v>31092286</c:v>
                </c:pt>
                <c:pt idx="3">
                  <c:v>1087447</c:v>
                </c:pt>
                <c:pt idx="4">
                  <c:v>12916230</c:v>
                </c:pt>
                <c:pt idx="5">
                  <c:v>17329749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AA-4038-8DD2-558B188C3F1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53590208"/>
        <c:axId val="1253585616"/>
      </c:barChart>
      <c:catAx>
        <c:axId val="12535902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SN"/>
                  <a:t>Produit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53585616"/>
        <c:crosses val="autoZero"/>
        <c:auto val="1"/>
        <c:lblAlgn val="ctr"/>
        <c:lblOffset val="100"/>
        <c:noMultiLvlLbl val="0"/>
      </c:catAx>
      <c:valAx>
        <c:axId val="125358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SN"/>
                  <a:t>Bénéfice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53590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5</xdr:row>
      <xdr:rowOff>167640</xdr:rowOff>
    </xdr:from>
    <xdr:to>
      <xdr:col>6</xdr:col>
      <xdr:colOff>7620</xdr:colOff>
      <xdr:row>21</xdr:row>
      <xdr:rowOff>175260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6372086-6ECE-41B5-9F22-82F6C00E4C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7620</xdr:colOff>
      <xdr:row>6</xdr:row>
      <xdr:rowOff>22860</xdr:rowOff>
    </xdr:from>
    <xdr:to>
      <xdr:col>12</xdr:col>
      <xdr:colOff>30480</xdr:colOff>
      <xdr:row>22</xdr:row>
      <xdr:rowOff>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5DA93B7C-7DEE-4144-B3AD-E2A5B3E1CA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BC" refreshedDate="46276.169867592595" createdVersion="7" refreshedVersion="7" minRefreshableVersion="3" recordCount="240" xr:uid="{A3078B44-A711-4AC1-B951-BC484EFACCF1}">
  <cacheSource type="worksheet">
    <worksheetSource name="Transactions_Financieres"/>
  </cacheSource>
  <cacheFields count="24">
    <cacheField name="ID_Transaction" numFmtId="0">
      <sharedItems/>
    </cacheField>
    <cacheField name="Date" numFmtId="14">
      <sharedItems containsSemiMixedTypes="0" containsNonDate="0" containsDate="1" containsString="0" minDate="2025-01-16T00:00:00" maxDate="2026-08-24T00:00:00"/>
    </cacheField>
    <cacheField name="Ville" numFmtId="0">
      <sharedItems count="5">
        <s v="Thiès"/>
        <s v="Dakar"/>
        <s v="Ziguinchor"/>
        <s v="Saint-Louis"/>
        <s v="Kaolack"/>
      </sharedItems>
    </cacheField>
    <cacheField name="Produit" numFmtId="0">
      <sharedItems count="6">
        <s v="Power Bank"/>
        <s v="Tablette"/>
        <s v="Ordinateur portable"/>
        <s v="Casque Bluetooth"/>
        <s v="Imprimante"/>
        <s v="Smartphone"/>
      </sharedItems>
    </cacheField>
    <cacheField name="Catégorie" numFmtId="0">
      <sharedItems count="3">
        <s v="Accessoires"/>
        <s v="Téléphonie"/>
        <s v="Informatique"/>
      </sharedItems>
    </cacheField>
    <cacheField name="Commercial" numFmtId="0">
      <sharedItems count="6">
        <s v="Fatou"/>
        <s v="Moussa"/>
        <s v="Cheikh"/>
        <s v="Aminata"/>
        <s v="Ibrahima"/>
        <s v="Mariama"/>
      </sharedItems>
    </cacheField>
    <cacheField name="Quantité" numFmtId="0">
      <sharedItems containsSemiMixedTypes="0" containsString="0" containsNumber="1" containsInteger="1" minValue="1" maxValue="15"/>
    </cacheField>
    <cacheField name="Prix_Unitaire" numFmtId="0">
      <sharedItems containsSemiMixedTypes="0" containsString="0" containsNumber="1" containsInteger="1" minValue="21858" maxValue="560431"/>
    </cacheField>
    <cacheField name="Coût_Unitaire" numFmtId="0">
      <sharedItems containsSemiMixedTypes="0" containsString="0" containsNumber="1" containsInteger="1" minValue="13362" maxValue="410066"/>
    </cacheField>
    <cacheField name="Chiffre_Affaires" numFmtId="0">
      <sharedItems containsSemiMixedTypes="0" containsString="0" containsNumber="1" containsInteger="1" minValue="23041" maxValue="7567335"/>
    </cacheField>
    <cacheField name="Coût_Total" numFmtId="0">
      <sharedItems containsSemiMixedTypes="0" containsString="0" containsNumber="1" containsInteger="1" minValue="14542" maxValue="6003750"/>
    </cacheField>
    <cacheField name="Frais_Transport" numFmtId="0">
      <sharedItems containsSemiMixedTypes="0" containsString="0" containsNumber="1" containsInteger="1" minValue="5869" maxValue="37400"/>
    </cacheField>
    <cacheField name="Frais_Marketing" numFmtId="0">
      <sharedItems containsSemiMixedTypes="0" containsString="0" containsNumber="1" containsInteger="1" minValue="0" maxValue="20000"/>
    </cacheField>
    <cacheField name="Autres_Dépenses" numFmtId="0">
      <sharedItems containsSemiMixedTypes="0" containsString="0" containsNumber="1" containsInteger="1" minValue="2000" maxValue="10000"/>
    </cacheField>
    <cacheField name="Dépenses_Totales" numFmtId="0">
      <sharedItems containsSemiMixedTypes="0" containsString="0" containsNumber="1" containsInteger="1" minValue="41573" maxValue="6021369"/>
    </cacheField>
    <cacheField name="Bénéfice" numFmtId="0">
      <sharedItems containsSemiMixedTypes="0" containsString="0" containsNumber="1" containsInteger="1" minValue="-42969" maxValue="1546150"/>
    </cacheField>
    <cacheField name="Année" numFmtId="0">
      <sharedItems containsSemiMixedTypes="0" containsString="0" containsNumber="1" containsInteger="1" minValue="2025" maxValue="2026" count="2">
        <n v="2025"/>
        <n v="2026"/>
      </sharedItems>
    </cacheField>
    <cacheField name="Mois" numFmtId="0">
      <sharedItems containsSemiMixedTypes="0" containsString="0" containsNumber="1" containsInteger="1" minValue="1" maxValue="12"/>
    </cacheField>
    <cacheField name="Mois_Nom" numFmtId="0">
      <sharedItems count="24">
        <s v="janvier"/>
        <s v="Fevrier"/>
        <s v="Mars"/>
        <s v="Avril"/>
        <s v="Mai"/>
        <s v="juin"/>
        <s v="juillet"/>
        <s v="Aout"/>
        <s v="Septembre"/>
        <s v="Octobre"/>
        <s v="Novembre"/>
        <s v="Décembre"/>
        <s v="June" u="1"/>
        <s v="March" u="1"/>
        <s v="February" u="1"/>
        <s v="August" u="1"/>
        <s v="October" u="1"/>
        <s v="September" u="1"/>
        <s v="November" u="1"/>
        <s v="January" u="1"/>
        <s v="December" u="1"/>
        <s v="April" u="1"/>
        <s v="May" u="1"/>
        <s v="July" u="1"/>
      </sharedItems>
    </cacheField>
    <cacheField name="Marge_%" numFmtId="0">
      <sharedItems containsSemiMixedTypes="0" containsString="0" containsNumber="1" minValue="-155.74" maxValue="46.22"/>
    </cacheField>
    <cacheField name="Marge_Régionale" numFmtId="0" formula="Bénéfice /Chiffre_Affaires" databaseField="0"/>
    <cacheField name="Marge par produit" numFmtId="0" formula="Bénéfice /Chiffre_Affaires" databaseField="0"/>
    <cacheField name="Marge" numFmtId="0" formula=" (Bénéfice/Chiffre_Affaires )*100" databaseField="0"/>
    <cacheField name="marge_par_catégorie" numFmtId="0" formula=" (Bénéfice /Chiffre_Affaires )*100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">
  <r>
    <s v="TRX0106"/>
    <d v="2025-01-16T00:00:00"/>
    <x v="0"/>
    <x v="0"/>
    <x v="0"/>
    <x v="0"/>
    <n v="7"/>
    <n v="25486"/>
    <n v="14794"/>
    <n v="178402"/>
    <n v="103558"/>
    <n v="9314"/>
    <n v="15000"/>
    <n v="5000"/>
    <n v="132872"/>
    <n v="45530"/>
    <x v="0"/>
    <n v="1"/>
    <x v="0"/>
    <n v="25.52"/>
  </r>
  <r>
    <s v="TRX0182"/>
    <d v="2025-01-17T00:00:00"/>
    <x v="1"/>
    <x v="1"/>
    <x v="1"/>
    <x v="1"/>
    <n v="6"/>
    <n v="175276"/>
    <n v="132897"/>
    <n v="1051656"/>
    <n v="797382"/>
    <n v="8396"/>
    <n v="20000"/>
    <n v="5000"/>
    <n v="830778"/>
    <n v="220878"/>
    <x v="0"/>
    <n v="1"/>
    <x v="0"/>
    <n v="21"/>
  </r>
  <r>
    <s v="TRX0179"/>
    <d v="2025-01-17T00:00:00"/>
    <x v="2"/>
    <x v="0"/>
    <x v="0"/>
    <x v="0"/>
    <n v="10"/>
    <n v="22886"/>
    <n v="13521"/>
    <n v="228860"/>
    <n v="135210"/>
    <n v="23831"/>
    <n v="0"/>
    <n v="10000"/>
    <n v="169041"/>
    <n v="59819"/>
    <x v="0"/>
    <n v="1"/>
    <x v="0"/>
    <n v="26.14"/>
  </r>
  <r>
    <s v="TRX0076"/>
    <d v="2025-01-18T00:00:00"/>
    <x v="3"/>
    <x v="2"/>
    <x v="2"/>
    <x v="2"/>
    <n v="4"/>
    <n v="481964"/>
    <n v="380938"/>
    <n v="1927856"/>
    <n v="1523752"/>
    <n v="33445"/>
    <n v="20000"/>
    <n v="5000"/>
    <n v="1582197"/>
    <n v="345659"/>
    <x v="0"/>
    <n v="1"/>
    <x v="0"/>
    <n v="17.93"/>
  </r>
  <r>
    <s v="TRX0020"/>
    <d v="2025-01-22T00:00:00"/>
    <x v="2"/>
    <x v="3"/>
    <x v="0"/>
    <x v="3"/>
    <n v="4"/>
    <n v="33636"/>
    <n v="19967"/>
    <n v="134544"/>
    <n v="79868"/>
    <n v="35242"/>
    <n v="0"/>
    <n v="3000"/>
    <n v="118110"/>
    <n v="16434"/>
    <x v="0"/>
    <n v="1"/>
    <x v="0"/>
    <n v="12.21"/>
  </r>
  <r>
    <s v="TRX0068"/>
    <d v="2025-01-27T00:00:00"/>
    <x v="2"/>
    <x v="1"/>
    <x v="1"/>
    <x v="4"/>
    <n v="11"/>
    <n v="180557"/>
    <n v="128867"/>
    <n v="1986127"/>
    <n v="1417537"/>
    <n v="35536"/>
    <n v="5000"/>
    <n v="2000"/>
    <n v="1460073"/>
    <n v="526054"/>
    <x v="0"/>
    <n v="1"/>
    <x v="0"/>
    <n v="26.49"/>
  </r>
  <r>
    <s v="TRX0175"/>
    <d v="2025-01-29T00:00:00"/>
    <x v="1"/>
    <x v="1"/>
    <x v="1"/>
    <x v="0"/>
    <n v="14"/>
    <n v="187211"/>
    <n v="128295"/>
    <n v="2620954"/>
    <n v="1796130"/>
    <n v="9785"/>
    <n v="5000"/>
    <n v="2000"/>
    <n v="1812915"/>
    <n v="808039"/>
    <x v="0"/>
    <n v="1"/>
    <x v="0"/>
    <n v="30.83"/>
  </r>
  <r>
    <s v="TRX0144"/>
    <d v="2025-02-01T00:00:00"/>
    <x v="2"/>
    <x v="2"/>
    <x v="2"/>
    <x v="5"/>
    <n v="4"/>
    <n v="485216"/>
    <n v="389961"/>
    <n v="1940864"/>
    <n v="1559844"/>
    <n v="12696"/>
    <n v="10000"/>
    <n v="5000"/>
    <n v="1587540"/>
    <n v="353324"/>
    <x v="0"/>
    <n v="2"/>
    <x v="1"/>
    <n v="18.2"/>
  </r>
  <r>
    <s v="TRX0021"/>
    <d v="2025-02-02T00:00:00"/>
    <x v="1"/>
    <x v="1"/>
    <x v="1"/>
    <x v="5"/>
    <n v="9"/>
    <n v="175198"/>
    <n v="133066"/>
    <n v="1576782"/>
    <n v="1197594"/>
    <n v="12020"/>
    <n v="20000"/>
    <n v="3000"/>
    <n v="1232614"/>
    <n v="344168"/>
    <x v="0"/>
    <n v="2"/>
    <x v="1"/>
    <n v="21.83"/>
  </r>
  <r>
    <s v="TRX0117"/>
    <d v="2025-02-10T00:00:00"/>
    <x v="4"/>
    <x v="1"/>
    <x v="1"/>
    <x v="5"/>
    <n v="1"/>
    <n v="167263"/>
    <n v="133973"/>
    <n v="167263"/>
    <n v="133973"/>
    <n v="9941"/>
    <n v="10000"/>
    <n v="5000"/>
    <n v="158914"/>
    <n v="8349"/>
    <x v="0"/>
    <n v="2"/>
    <x v="1"/>
    <n v="4.99"/>
  </r>
  <r>
    <s v="TRX0185"/>
    <d v="2025-02-12T00:00:00"/>
    <x v="3"/>
    <x v="1"/>
    <x v="1"/>
    <x v="5"/>
    <n v="9"/>
    <n v="166689"/>
    <n v="135160"/>
    <n v="1500201"/>
    <n v="1216440"/>
    <n v="25640"/>
    <n v="10000"/>
    <n v="2000"/>
    <n v="1254080"/>
    <n v="246121"/>
    <x v="0"/>
    <n v="2"/>
    <x v="1"/>
    <n v="16.41"/>
  </r>
  <r>
    <s v="TRX0104"/>
    <d v="2025-02-14T00:00:00"/>
    <x v="4"/>
    <x v="1"/>
    <x v="1"/>
    <x v="3"/>
    <n v="12"/>
    <n v="174919"/>
    <n v="128952"/>
    <n v="2099028"/>
    <n v="1547424"/>
    <n v="33434"/>
    <n v="5000"/>
    <n v="8000"/>
    <n v="1593858"/>
    <n v="505170"/>
    <x v="0"/>
    <n v="2"/>
    <x v="1"/>
    <n v="24.07"/>
  </r>
  <r>
    <s v="TRX0046"/>
    <d v="2025-02-15T00:00:00"/>
    <x v="4"/>
    <x v="0"/>
    <x v="0"/>
    <x v="2"/>
    <n v="1"/>
    <n v="23041"/>
    <n v="14542"/>
    <n v="23041"/>
    <n v="14542"/>
    <n v="34382"/>
    <n v="5000"/>
    <n v="5000"/>
    <n v="58924"/>
    <n v="-35883"/>
    <x v="0"/>
    <n v="2"/>
    <x v="1"/>
    <n v="-155.74"/>
  </r>
  <r>
    <s v="TRX0183"/>
    <d v="2025-02-15T00:00:00"/>
    <x v="2"/>
    <x v="1"/>
    <x v="1"/>
    <x v="5"/>
    <n v="6"/>
    <n v="178318"/>
    <n v="126004"/>
    <n v="1069908"/>
    <n v="756024"/>
    <n v="34294"/>
    <n v="15000"/>
    <n v="8000"/>
    <n v="813318"/>
    <n v="256590"/>
    <x v="0"/>
    <n v="2"/>
    <x v="1"/>
    <n v="23.98"/>
  </r>
  <r>
    <s v="TRX0217"/>
    <d v="2025-02-16T00:00:00"/>
    <x v="0"/>
    <x v="2"/>
    <x v="2"/>
    <x v="4"/>
    <n v="12"/>
    <n v="492524"/>
    <n v="390824"/>
    <n v="5910288"/>
    <n v="4689888"/>
    <n v="24968"/>
    <n v="5000"/>
    <n v="10000"/>
    <n v="4729856"/>
    <n v="1180432"/>
    <x v="0"/>
    <n v="2"/>
    <x v="1"/>
    <n v="19.97"/>
  </r>
  <r>
    <s v="TRX0214"/>
    <d v="2025-02-16T00:00:00"/>
    <x v="1"/>
    <x v="4"/>
    <x v="2"/>
    <x v="4"/>
    <n v="10"/>
    <n v="152798"/>
    <n v="103937"/>
    <n v="1527980"/>
    <n v="1039370"/>
    <n v="14456"/>
    <n v="0"/>
    <n v="8000"/>
    <n v="1061826"/>
    <n v="466154"/>
    <x v="0"/>
    <n v="2"/>
    <x v="1"/>
    <n v="30.51"/>
  </r>
  <r>
    <s v="TRX0178"/>
    <d v="2025-02-18T00:00:00"/>
    <x v="4"/>
    <x v="5"/>
    <x v="1"/>
    <x v="4"/>
    <n v="11"/>
    <n v="229570"/>
    <n v="175049"/>
    <n v="2525270"/>
    <n v="1925539"/>
    <n v="10790"/>
    <n v="15000"/>
    <n v="10000"/>
    <n v="1961329"/>
    <n v="563941"/>
    <x v="0"/>
    <n v="2"/>
    <x v="1"/>
    <n v="22.33"/>
  </r>
  <r>
    <s v="TRX0128"/>
    <d v="2025-02-21T00:00:00"/>
    <x v="0"/>
    <x v="1"/>
    <x v="1"/>
    <x v="1"/>
    <n v="3"/>
    <n v="181471"/>
    <n v="126434"/>
    <n v="544413"/>
    <n v="379302"/>
    <n v="28950"/>
    <n v="5000"/>
    <n v="10000"/>
    <n v="423252"/>
    <n v="121161"/>
    <x v="0"/>
    <n v="2"/>
    <x v="1"/>
    <n v="22.26"/>
  </r>
  <r>
    <s v="TRX0210"/>
    <d v="2025-02-21T00:00:00"/>
    <x v="4"/>
    <x v="1"/>
    <x v="1"/>
    <x v="5"/>
    <n v="14"/>
    <n v="168084"/>
    <n v="127050"/>
    <n v="2353176"/>
    <n v="1778700"/>
    <n v="12791"/>
    <n v="10000"/>
    <n v="10000"/>
    <n v="1811491"/>
    <n v="541685"/>
    <x v="0"/>
    <n v="2"/>
    <x v="1"/>
    <n v="23.02"/>
  </r>
  <r>
    <s v="TRX0231"/>
    <d v="2025-02-21T00:00:00"/>
    <x v="2"/>
    <x v="0"/>
    <x v="0"/>
    <x v="3"/>
    <n v="4"/>
    <n v="24189"/>
    <n v="13381"/>
    <n v="96756"/>
    <n v="53524"/>
    <n v="23179"/>
    <n v="10000"/>
    <n v="8000"/>
    <n v="94703"/>
    <n v="2053"/>
    <x v="0"/>
    <n v="2"/>
    <x v="1"/>
    <n v="2.12"/>
  </r>
  <r>
    <s v="TRX0037"/>
    <d v="2025-02-22T00:00:00"/>
    <x v="4"/>
    <x v="2"/>
    <x v="2"/>
    <x v="5"/>
    <n v="14"/>
    <n v="463138"/>
    <n v="370652"/>
    <n v="6483932"/>
    <n v="5189128"/>
    <n v="11608"/>
    <n v="10000"/>
    <n v="3000"/>
    <n v="5213736"/>
    <n v="1270196"/>
    <x v="0"/>
    <n v="2"/>
    <x v="1"/>
    <n v="19.59"/>
  </r>
  <r>
    <s v="TRX0083"/>
    <d v="2025-02-24T00:00:00"/>
    <x v="0"/>
    <x v="5"/>
    <x v="1"/>
    <x v="2"/>
    <n v="13"/>
    <n v="234731"/>
    <n v="172099"/>
    <n v="3051503"/>
    <n v="2237287"/>
    <n v="16415"/>
    <n v="0"/>
    <n v="10000"/>
    <n v="2263702"/>
    <n v="787801"/>
    <x v="0"/>
    <n v="2"/>
    <x v="1"/>
    <n v="25.82"/>
  </r>
  <r>
    <s v="TRX0191"/>
    <d v="2025-02-28T00:00:00"/>
    <x v="4"/>
    <x v="2"/>
    <x v="2"/>
    <x v="4"/>
    <n v="6"/>
    <n v="478799"/>
    <n v="402671"/>
    <n v="2872794"/>
    <n v="2416026"/>
    <n v="12802"/>
    <n v="0"/>
    <n v="3000"/>
    <n v="2431828"/>
    <n v="440966"/>
    <x v="0"/>
    <n v="2"/>
    <x v="1"/>
    <n v="15.35"/>
  </r>
  <r>
    <s v="TRX0085"/>
    <d v="2025-03-03T00:00:00"/>
    <x v="1"/>
    <x v="3"/>
    <x v="0"/>
    <x v="1"/>
    <n v="13"/>
    <n v="33918"/>
    <n v="20437"/>
    <n v="440934"/>
    <n v="265681"/>
    <n v="26640"/>
    <n v="0"/>
    <n v="3000"/>
    <n v="295321"/>
    <n v="145613"/>
    <x v="0"/>
    <n v="3"/>
    <x v="2"/>
    <n v="33.020000000000003"/>
  </r>
  <r>
    <s v="TRX0013"/>
    <d v="2025-03-07T00:00:00"/>
    <x v="4"/>
    <x v="4"/>
    <x v="2"/>
    <x v="5"/>
    <n v="10"/>
    <n v="147346"/>
    <n v="105861"/>
    <n v="1473460"/>
    <n v="1058610"/>
    <n v="28910"/>
    <n v="0"/>
    <n v="2000"/>
    <n v="1089520"/>
    <n v="383940"/>
    <x v="0"/>
    <n v="3"/>
    <x v="2"/>
    <n v="26.06"/>
  </r>
  <r>
    <s v="TRX0197"/>
    <d v="2025-03-08T00:00:00"/>
    <x v="2"/>
    <x v="3"/>
    <x v="0"/>
    <x v="4"/>
    <n v="5"/>
    <n v="35031"/>
    <n v="21917"/>
    <n v="175155"/>
    <n v="109585"/>
    <n v="35405"/>
    <n v="5000"/>
    <n v="5000"/>
    <n v="154990"/>
    <n v="20165"/>
    <x v="0"/>
    <n v="3"/>
    <x v="2"/>
    <n v="11.51"/>
  </r>
  <r>
    <s v="TRX0047"/>
    <d v="2025-03-13T00:00:00"/>
    <x v="3"/>
    <x v="0"/>
    <x v="0"/>
    <x v="0"/>
    <n v="10"/>
    <n v="22877"/>
    <n v="14606"/>
    <n v="228770"/>
    <n v="146060"/>
    <n v="35730"/>
    <n v="10000"/>
    <n v="10000"/>
    <n v="201790"/>
    <n v="26980"/>
    <x v="0"/>
    <n v="3"/>
    <x v="2"/>
    <n v="11.79"/>
  </r>
  <r>
    <s v="TRX0008"/>
    <d v="2025-03-15T00:00:00"/>
    <x v="0"/>
    <x v="3"/>
    <x v="0"/>
    <x v="1"/>
    <n v="9"/>
    <n v="35014"/>
    <n v="20327"/>
    <n v="315126"/>
    <n v="182943"/>
    <n v="21791"/>
    <n v="10000"/>
    <n v="10000"/>
    <n v="224734"/>
    <n v="90392"/>
    <x v="0"/>
    <n v="3"/>
    <x v="2"/>
    <n v="28.68"/>
  </r>
  <r>
    <s v="TRX0111"/>
    <d v="2025-03-22T00:00:00"/>
    <x v="4"/>
    <x v="3"/>
    <x v="0"/>
    <x v="2"/>
    <n v="10"/>
    <n v="32985"/>
    <n v="21100"/>
    <n v="329850"/>
    <n v="211000"/>
    <n v="30135"/>
    <n v="5000"/>
    <n v="3000"/>
    <n v="249135"/>
    <n v="80715"/>
    <x v="0"/>
    <n v="3"/>
    <x v="2"/>
    <n v="24.47"/>
  </r>
  <r>
    <s v="TRX0146"/>
    <d v="2025-03-25T00:00:00"/>
    <x v="4"/>
    <x v="1"/>
    <x v="1"/>
    <x v="4"/>
    <n v="11"/>
    <n v="163696"/>
    <n v="132181"/>
    <n v="1800656"/>
    <n v="1453991"/>
    <n v="23214"/>
    <n v="10000"/>
    <n v="3000"/>
    <n v="1490205"/>
    <n v="310451"/>
    <x v="0"/>
    <n v="3"/>
    <x v="2"/>
    <n v="17.239999999999998"/>
  </r>
  <r>
    <s v="TRX0164"/>
    <d v="2025-03-25T00:00:00"/>
    <x v="0"/>
    <x v="3"/>
    <x v="0"/>
    <x v="4"/>
    <n v="15"/>
    <n v="33230"/>
    <n v="22185"/>
    <n v="498450"/>
    <n v="332775"/>
    <n v="34859"/>
    <n v="15000"/>
    <n v="3000"/>
    <n v="385634"/>
    <n v="112816"/>
    <x v="0"/>
    <n v="3"/>
    <x v="2"/>
    <n v="22.63"/>
  </r>
  <r>
    <s v="TRX0173"/>
    <d v="2025-03-27T00:00:00"/>
    <x v="3"/>
    <x v="5"/>
    <x v="1"/>
    <x v="2"/>
    <n v="8"/>
    <n v="238097"/>
    <n v="169086"/>
    <n v="1904776"/>
    <n v="1352688"/>
    <n v="24169"/>
    <n v="0"/>
    <n v="3000"/>
    <n v="1379857"/>
    <n v="524919"/>
    <x v="0"/>
    <n v="3"/>
    <x v="2"/>
    <n v="27.56"/>
  </r>
  <r>
    <s v="TRX0165"/>
    <d v="2025-03-28T00:00:00"/>
    <x v="2"/>
    <x v="1"/>
    <x v="1"/>
    <x v="5"/>
    <n v="7"/>
    <n v="174291"/>
    <n v="128197"/>
    <n v="1220037"/>
    <n v="897379"/>
    <n v="11484"/>
    <n v="20000"/>
    <n v="2000"/>
    <n v="930863"/>
    <n v="289174"/>
    <x v="0"/>
    <n v="3"/>
    <x v="2"/>
    <n v="23.7"/>
  </r>
  <r>
    <s v="TRX0161"/>
    <d v="2025-03-28T00:00:00"/>
    <x v="0"/>
    <x v="3"/>
    <x v="0"/>
    <x v="4"/>
    <n v="1"/>
    <n v="32749"/>
    <n v="20961"/>
    <n v="32749"/>
    <n v="20961"/>
    <n v="24248"/>
    <n v="20000"/>
    <n v="10000"/>
    <n v="75209"/>
    <n v="-42460"/>
    <x v="0"/>
    <n v="3"/>
    <x v="2"/>
    <n v="-129.65"/>
  </r>
  <r>
    <s v="TRX0138"/>
    <d v="2025-03-29T00:00:00"/>
    <x v="4"/>
    <x v="2"/>
    <x v="2"/>
    <x v="4"/>
    <n v="2"/>
    <n v="494136"/>
    <n v="386487"/>
    <n v="988272"/>
    <n v="772974"/>
    <n v="11579"/>
    <n v="20000"/>
    <n v="2000"/>
    <n v="806553"/>
    <n v="181719"/>
    <x v="0"/>
    <n v="3"/>
    <x v="2"/>
    <n v="18.39"/>
  </r>
  <r>
    <s v="TRX0095"/>
    <d v="2025-04-01T00:00:00"/>
    <x v="3"/>
    <x v="1"/>
    <x v="1"/>
    <x v="2"/>
    <n v="6"/>
    <n v="160073"/>
    <n v="134547"/>
    <n v="960438"/>
    <n v="807282"/>
    <n v="27328"/>
    <n v="0"/>
    <n v="10000"/>
    <n v="844610"/>
    <n v="115828"/>
    <x v="0"/>
    <n v="4"/>
    <x v="3"/>
    <n v="12.06"/>
  </r>
  <r>
    <s v="TRX0204"/>
    <d v="2025-04-06T00:00:00"/>
    <x v="0"/>
    <x v="3"/>
    <x v="0"/>
    <x v="0"/>
    <n v="10"/>
    <n v="36013"/>
    <n v="20306"/>
    <n v="360130"/>
    <n v="203060"/>
    <n v="33231"/>
    <n v="20000"/>
    <n v="10000"/>
    <n v="266291"/>
    <n v="93839"/>
    <x v="0"/>
    <n v="4"/>
    <x v="3"/>
    <n v="26.06"/>
  </r>
  <r>
    <s v="TRX0137"/>
    <d v="2025-04-08T00:00:00"/>
    <x v="4"/>
    <x v="1"/>
    <x v="1"/>
    <x v="3"/>
    <n v="6"/>
    <n v="169224"/>
    <n v="128853"/>
    <n v="1015344"/>
    <n v="773118"/>
    <n v="12501"/>
    <n v="15000"/>
    <n v="2000"/>
    <n v="802619"/>
    <n v="212725"/>
    <x v="0"/>
    <n v="4"/>
    <x v="3"/>
    <n v="20.95"/>
  </r>
  <r>
    <s v="TRX0124"/>
    <d v="2025-04-10T00:00:00"/>
    <x v="2"/>
    <x v="5"/>
    <x v="1"/>
    <x v="4"/>
    <n v="3"/>
    <n v="224339"/>
    <n v="173392"/>
    <n v="673017"/>
    <n v="520176"/>
    <n v="36689"/>
    <n v="20000"/>
    <n v="8000"/>
    <n v="584865"/>
    <n v="88152"/>
    <x v="0"/>
    <n v="4"/>
    <x v="3"/>
    <n v="13.1"/>
  </r>
  <r>
    <s v="TRX0109"/>
    <d v="2025-04-11T00:00:00"/>
    <x v="1"/>
    <x v="0"/>
    <x v="0"/>
    <x v="3"/>
    <n v="8"/>
    <n v="24082"/>
    <n v="13761"/>
    <n v="192656"/>
    <n v="110088"/>
    <n v="5948"/>
    <n v="0"/>
    <n v="5000"/>
    <n v="121036"/>
    <n v="71620"/>
    <x v="0"/>
    <n v="4"/>
    <x v="3"/>
    <n v="37.18"/>
  </r>
  <r>
    <s v="TRX0189"/>
    <d v="2025-04-16T00:00:00"/>
    <x v="3"/>
    <x v="2"/>
    <x v="2"/>
    <x v="5"/>
    <n v="11"/>
    <n v="474600"/>
    <n v="389630"/>
    <n v="5220600"/>
    <n v="4285930"/>
    <n v="35645"/>
    <n v="15000"/>
    <n v="3000"/>
    <n v="4339575"/>
    <n v="881025"/>
    <x v="0"/>
    <n v="4"/>
    <x v="3"/>
    <n v="16.88"/>
  </r>
  <r>
    <s v="TRX0155"/>
    <d v="2025-04-16T00:00:00"/>
    <x v="3"/>
    <x v="5"/>
    <x v="1"/>
    <x v="5"/>
    <n v="4"/>
    <n v="215229"/>
    <n v="169193"/>
    <n v="860916"/>
    <n v="676772"/>
    <n v="37344"/>
    <n v="0"/>
    <n v="3000"/>
    <n v="717116"/>
    <n v="143800"/>
    <x v="0"/>
    <n v="4"/>
    <x v="3"/>
    <n v="16.7"/>
  </r>
  <r>
    <s v="TRX0042"/>
    <d v="2025-04-21T00:00:00"/>
    <x v="1"/>
    <x v="4"/>
    <x v="2"/>
    <x v="1"/>
    <n v="14"/>
    <n v="150884"/>
    <n v="102055"/>
    <n v="2112376"/>
    <n v="1428770"/>
    <n v="20083"/>
    <n v="10000"/>
    <n v="5000"/>
    <n v="1463853"/>
    <n v="648523"/>
    <x v="0"/>
    <n v="4"/>
    <x v="3"/>
    <n v="30.7"/>
  </r>
  <r>
    <s v="TRX0220"/>
    <d v="2025-04-23T00:00:00"/>
    <x v="2"/>
    <x v="4"/>
    <x v="2"/>
    <x v="2"/>
    <n v="5"/>
    <n v="148268"/>
    <n v="108127"/>
    <n v="741340"/>
    <n v="540635"/>
    <n v="34431"/>
    <n v="0"/>
    <n v="10000"/>
    <n v="585066"/>
    <n v="156274"/>
    <x v="0"/>
    <n v="4"/>
    <x v="3"/>
    <n v="21.08"/>
  </r>
  <r>
    <s v="TRX0001"/>
    <d v="2025-04-25T00:00:00"/>
    <x v="3"/>
    <x v="2"/>
    <x v="2"/>
    <x v="4"/>
    <n v="4"/>
    <n v="469696"/>
    <n v="402095"/>
    <n v="1878784"/>
    <n v="1608380"/>
    <n v="33968"/>
    <n v="20000"/>
    <n v="2000"/>
    <n v="1664348"/>
    <n v="214436"/>
    <x v="0"/>
    <n v="4"/>
    <x v="3"/>
    <n v="11.41"/>
  </r>
  <r>
    <s v="TRX0147"/>
    <d v="2025-04-27T00:00:00"/>
    <x v="4"/>
    <x v="1"/>
    <x v="1"/>
    <x v="3"/>
    <n v="2"/>
    <n v="160467"/>
    <n v="133202"/>
    <n v="320934"/>
    <n v="266404"/>
    <n v="26181"/>
    <n v="20000"/>
    <n v="5000"/>
    <n v="317585"/>
    <n v="3349"/>
    <x v="0"/>
    <n v="4"/>
    <x v="3"/>
    <n v="1.04"/>
  </r>
  <r>
    <s v="TRX0099"/>
    <d v="2025-05-01T00:00:00"/>
    <x v="0"/>
    <x v="0"/>
    <x v="0"/>
    <x v="2"/>
    <n v="8"/>
    <n v="25694"/>
    <n v="13749"/>
    <n v="205552"/>
    <n v="109992"/>
    <n v="35142"/>
    <n v="10000"/>
    <n v="8000"/>
    <n v="163134"/>
    <n v="42418"/>
    <x v="0"/>
    <n v="5"/>
    <x v="4"/>
    <n v="20.64"/>
  </r>
  <r>
    <s v="TRX0196"/>
    <d v="2025-05-06T00:00:00"/>
    <x v="1"/>
    <x v="5"/>
    <x v="1"/>
    <x v="5"/>
    <n v="8"/>
    <n v="231401"/>
    <n v="179982"/>
    <n v="1851208"/>
    <n v="1439856"/>
    <n v="7876"/>
    <n v="10000"/>
    <n v="5000"/>
    <n v="1462732"/>
    <n v="388476"/>
    <x v="0"/>
    <n v="5"/>
    <x v="4"/>
    <n v="20.99"/>
  </r>
  <r>
    <s v="TRX0121"/>
    <d v="2025-05-07T00:00:00"/>
    <x v="3"/>
    <x v="4"/>
    <x v="2"/>
    <x v="5"/>
    <n v="11"/>
    <n v="145758"/>
    <n v="102778"/>
    <n v="1603338"/>
    <n v="1130558"/>
    <n v="21856"/>
    <n v="10000"/>
    <n v="2000"/>
    <n v="1164414"/>
    <n v="438924"/>
    <x v="0"/>
    <n v="5"/>
    <x v="4"/>
    <n v="27.38"/>
  </r>
  <r>
    <s v="TRX0081"/>
    <d v="2025-05-10T00:00:00"/>
    <x v="4"/>
    <x v="0"/>
    <x v="0"/>
    <x v="0"/>
    <n v="2"/>
    <n v="24165"/>
    <n v="14184"/>
    <n v="48330"/>
    <n v="28368"/>
    <n v="25476"/>
    <n v="15000"/>
    <n v="8000"/>
    <n v="76844"/>
    <n v="-28514"/>
    <x v="0"/>
    <n v="5"/>
    <x v="4"/>
    <n v="-59"/>
  </r>
  <r>
    <s v="TRX0105"/>
    <d v="2025-05-10T00:00:00"/>
    <x v="2"/>
    <x v="3"/>
    <x v="0"/>
    <x v="2"/>
    <n v="6"/>
    <n v="34932"/>
    <n v="21969"/>
    <n v="209592"/>
    <n v="131814"/>
    <n v="24284"/>
    <n v="0"/>
    <n v="10000"/>
    <n v="166098"/>
    <n v="43494"/>
    <x v="0"/>
    <n v="5"/>
    <x v="4"/>
    <n v="20.75"/>
  </r>
  <r>
    <s v="TRX0062"/>
    <d v="2025-05-11T00:00:00"/>
    <x v="2"/>
    <x v="3"/>
    <x v="0"/>
    <x v="5"/>
    <n v="1"/>
    <n v="35103"/>
    <n v="21317"/>
    <n v="35103"/>
    <n v="21317"/>
    <n v="33406"/>
    <n v="0"/>
    <n v="2000"/>
    <n v="56723"/>
    <n v="-21620"/>
    <x v="0"/>
    <n v="5"/>
    <x v="4"/>
    <n v="-61.59"/>
  </r>
  <r>
    <s v="TRX0236"/>
    <d v="2025-05-18T00:00:00"/>
    <x v="4"/>
    <x v="3"/>
    <x v="0"/>
    <x v="5"/>
    <n v="5"/>
    <n v="30799"/>
    <n v="20210"/>
    <n v="153995"/>
    <n v="101050"/>
    <n v="12905"/>
    <n v="15000"/>
    <n v="5000"/>
    <n v="133955"/>
    <n v="20040"/>
    <x v="0"/>
    <n v="5"/>
    <x v="4"/>
    <n v="13.01"/>
  </r>
  <r>
    <s v="TRX0232"/>
    <d v="2025-05-21T00:00:00"/>
    <x v="2"/>
    <x v="2"/>
    <x v="2"/>
    <x v="0"/>
    <n v="15"/>
    <n v="470280"/>
    <n v="398509"/>
    <n v="7054200"/>
    <n v="5977635"/>
    <n v="25734"/>
    <n v="15000"/>
    <n v="3000"/>
    <n v="6021369"/>
    <n v="1032831"/>
    <x v="0"/>
    <n v="5"/>
    <x v="4"/>
    <n v="14.64"/>
  </r>
  <r>
    <s v="TRX0224"/>
    <d v="2025-05-22T00:00:00"/>
    <x v="0"/>
    <x v="3"/>
    <x v="0"/>
    <x v="1"/>
    <n v="9"/>
    <n v="33113"/>
    <n v="21480"/>
    <n v="298017"/>
    <n v="193320"/>
    <n v="27772"/>
    <n v="15000"/>
    <n v="5000"/>
    <n v="241092"/>
    <n v="56925"/>
    <x v="0"/>
    <n v="5"/>
    <x v="4"/>
    <n v="19.100000000000001"/>
  </r>
  <r>
    <s v="TRX0172"/>
    <d v="2025-05-22T00:00:00"/>
    <x v="1"/>
    <x v="1"/>
    <x v="1"/>
    <x v="0"/>
    <n v="11"/>
    <n v="181311"/>
    <n v="128808"/>
    <n v="1994421"/>
    <n v="1416888"/>
    <n v="8361"/>
    <n v="20000"/>
    <n v="2000"/>
    <n v="1447249"/>
    <n v="547172"/>
    <x v="0"/>
    <n v="5"/>
    <x v="4"/>
    <n v="27.44"/>
  </r>
  <r>
    <s v="TRX0058"/>
    <d v="2025-05-22T00:00:00"/>
    <x v="0"/>
    <x v="5"/>
    <x v="1"/>
    <x v="0"/>
    <n v="7"/>
    <n v="238960"/>
    <n v="179849"/>
    <n v="1672720"/>
    <n v="1258943"/>
    <n v="8880"/>
    <n v="15000"/>
    <n v="8000"/>
    <n v="1290823"/>
    <n v="381897"/>
    <x v="0"/>
    <n v="5"/>
    <x v="4"/>
    <n v="22.83"/>
  </r>
  <r>
    <s v="TRX0218"/>
    <d v="2025-05-24T00:00:00"/>
    <x v="2"/>
    <x v="1"/>
    <x v="1"/>
    <x v="0"/>
    <n v="6"/>
    <n v="162897"/>
    <n v="137666"/>
    <n v="977382"/>
    <n v="825996"/>
    <n v="36532"/>
    <n v="10000"/>
    <n v="10000"/>
    <n v="882528"/>
    <n v="94854"/>
    <x v="0"/>
    <n v="5"/>
    <x v="4"/>
    <n v="9.6999999999999993"/>
  </r>
  <r>
    <s v="TRX0052"/>
    <d v="2025-05-31T00:00:00"/>
    <x v="1"/>
    <x v="2"/>
    <x v="2"/>
    <x v="5"/>
    <n v="4"/>
    <n v="560431"/>
    <n v="396724"/>
    <n v="2241724"/>
    <n v="1586896"/>
    <n v="7386"/>
    <n v="15000"/>
    <n v="8000"/>
    <n v="1617282"/>
    <n v="624442"/>
    <x v="0"/>
    <n v="5"/>
    <x v="4"/>
    <n v="27.86"/>
  </r>
  <r>
    <s v="TRX0066"/>
    <d v="2025-06-06T00:00:00"/>
    <x v="0"/>
    <x v="5"/>
    <x v="1"/>
    <x v="0"/>
    <n v="8"/>
    <n v="238170"/>
    <n v="177106"/>
    <n v="1905360"/>
    <n v="1416848"/>
    <n v="15178"/>
    <n v="15000"/>
    <n v="5000"/>
    <n v="1452026"/>
    <n v="453334"/>
    <x v="0"/>
    <n v="6"/>
    <x v="5"/>
    <n v="23.79"/>
  </r>
  <r>
    <s v="TRX0193"/>
    <d v="2025-06-07T00:00:00"/>
    <x v="4"/>
    <x v="0"/>
    <x v="0"/>
    <x v="0"/>
    <n v="6"/>
    <n v="22570"/>
    <n v="14475"/>
    <n v="135420"/>
    <n v="86850"/>
    <n v="29758"/>
    <n v="5000"/>
    <n v="10000"/>
    <n v="131608"/>
    <n v="3812"/>
    <x v="0"/>
    <n v="6"/>
    <x v="5"/>
    <n v="2.81"/>
  </r>
  <r>
    <s v="TRX0125"/>
    <d v="2025-06-08T00:00:00"/>
    <x v="1"/>
    <x v="4"/>
    <x v="2"/>
    <x v="1"/>
    <n v="14"/>
    <n v="151276"/>
    <n v="104464"/>
    <n v="2117864"/>
    <n v="1462496"/>
    <n v="14166"/>
    <n v="0"/>
    <n v="5000"/>
    <n v="1481662"/>
    <n v="636202"/>
    <x v="0"/>
    <n v="6"/>
    <x v="5"/>
    <n v="30.04"/>
  </r>
  <r>
    <s v="TRX0162"/>
    <d v="2025-06-12T00:00:00"/>
    <x v="3"/>
    <x v="1"/>
    <x v="1"/>
    <x v="5"/>
    <n v="15"/>
    <n v="163986"/>
    <n v="129345"/>
    <n v="2459790"/>
    <n v="1940175"/>
    <n v="20109"/>
    <n v="20000"/>
    <n v="2000"/>
    <n v="1982284"/>
    <n v="477506"/>
    <x v="0"/>
    <n v="6"/>
    <x v="5"/>
    <n v="19.41"/>
  </r>
  <r>
    <s v="TRX0041"/>
    <d v="2025-06-16T00:00:00"/>
    <x v="4"/>
    <x v="5"/>
    <x v="1"/>
    <x v="1"/>
    <n v="1"/>
    <n v="210780"/>
    <n v="184046"/>
    <n v="210780"/>
    <n v="184046"/>
    <n v="23114"/>
    <n v="5000"/>
    <n v="5000"/>
    <n v="217160"/>
    <n v="-6380"/>
    <x v="0"/>
    <n v="6"/>
    <x v="5"/>
    <n v="-3.03"/>
  </r>
  <r>
    <s v="TRX0119"/>
    <d v="2025-06-18T00:00:00"/>
    <x v="4"/>
    <x v="1"/>
    <x v="1"/>
    <x v="1"/>
    <n v="13"/>
    <n v="160740"/>
    <n v="135947"/>
    <n v="2089620"/>
    <n v="1767311"/>
    <n v="10966"/>
    <n v="15000"/>
    <n v="2000"/>
    <n v="1795277"/>
    <n v="294343"/>
    <x v="0"/>
    <n v="6"/>
    <x v="5"/>
    <n v="14.09"/>
  </r>
  <r>
    <s v="TRX0089"/>
    <d v="2025-06-19T00:00:00"/>
    <x v="2"/>
    <x v="1"/>
    <x v="1"/>
    <x v="5"/>
    <n v="12"/>
    <n v="178573"/>
    <n v="136673"/>
    <n v="2142876"/>
    <n v="1640076"/>
    <n v="24238"/>
    <n v="0"/>
    <n v="8000"/>
    <n v="1672314"/>
    <n v="470562"/>
    <x v="0"/>
    <n v="6"/>
    <x v="5"/>
    <n v="21.96"/>
  </r>
  <r>
    <s v="TRX0067"/>
    <d v="2025-06-21T00:00:00"/>
    <x v="2"/>
    <x v="3"/>
    <x v="0"/>
    <x v="4"/>
    <n v="12"/>
    <n v="34235"/>
    <n v="21747"/>
    <n v="410820"/>
    <n v="260964"/>
    <n v="12958"/>
    <n v="10000"/>
    <n v="2000"/>
    <n v="285922"/>
    <n v="124898"/>
    <x v="0"/>
    <n v="6"/>
    <x v="5"/>
    <n v="30.4"/>
  </r>
  <r>
    <s v="TRX0154"/>
    <d v="2025-06-22T00:00:00"/>
    <x v="2"/>
    <x v="2"/>
    <x v="2"/>
    <x v="1"/>
    <n v="11"/>
    <n v="467275"/>
    <n v="392377"/>
    <n v="5140025"/>
    <n v="4316147"/>
    <n v="20560"/>
    <n v="10000"/>
    <n v="3000"/>
    <n v="4349707"/>
    <n v="790318"/>
    <x v="0"/>
    <n v="6"/>
    <x v="5"/>
    <n v="15.38"/>
  </r>
  <r>
    <s v="TRX0086"/>
    <d v="2025-06-27T00:00:00"/>
    <x v="1"/>
    <x v="3"/>
    <x v="0"/>
    <x v="3"/>
    <n v="3"/>
    <n v="32913"/>
    <n v="20991"/>
    <n v="98739"/>
    <n v="62973"/>
    <n v="24458"/>
    <n v="15000"/>
    <n v="5000"/>
    <n v="107431"/>
    <n v="-8692"/>
    <x v="0"/>
    <n v="6"/>
    <x v="5"/>
    <n v="-8.8000000000000007"/>
  </r>
  <r>
    <s v="TRX0130"/>
    <d v="2025-06-28T00:00:00"/>
    <x v="1"/>
    <x v="2"/>
    <x v="2"/>
    <x v="3"/>
    <n v="3"/>
    <n v="489882"/>
    <n v="404390"/>
    <n v="1469646"/>
    <n v="1213170"/>
    <n v="12796"/>
    <n v="20000"/>
    <n v="5000"/>
    <n v="1250966"/>
    <n v="218680"/>
    <x v="0"/>
    <n v="6"/>
    <x v="5"/>
    <n v="14.88"/>
  </r>
  <r>
    <s v="TRX0131"/>
    <d v="2025-06-28T00:00:00"/>
    <x v="1"/>
    <x v="1"/>
    <x v="1"/>
    <x v="2"/>
    <n v="3"/>
    <n v="187891"/>
    <n v="131023"/>
    <n v="563673"/>
    <n v="393069"/>
    <n v="29433"/>
    <n v="0"/>
    <n v="8000"/>
    <n v="430502"/>
    <n v="133171"/>
    <x v="0"/>
    <n v="6"/>
    <x v="5"/>
    <n v="23.63"/>
  </r>
  <r>
    <s v="TRX0184"/>
    <d v="2025-07-06T00:00:00"/>
    <x v="1"/>
    <x v="5"/>
    <x v="1"/>
    <x v="1"/>
    <n v="12"/>
    <n v="251680"/>
    <n v="175060"/>
    <n v="3020160"/>
    <n v="2100720"/>
    <n v="14615"/>
    <n v="5000"/>
    <n v="2000"/>
    <n v="2122335"/>
    <n v="897825"/>
    <x v="0"/>
    <n v="7"/>
    <x v="6"/>
    <n v="29.73"/>
  </r>
  <r>
    <s v="TRX0082"/>
    <d v="2025-07-08T00:00:00"/>
    <x v="3"/>
    <x v="2"/>
    <x v="2"/>
    <x v="4"/>
    <n v="14"/>
    <n v="486928"/>
    <n v="405769"/>
    <n v="6816992"/>
    <n v="5680766"/>
    <n v="22662"/>
    <n v="15000"/>
    <n v="2000"/>
    <n v="5720428"/>
    <n v="1096564"/>
    <x v="0"/>
    <n v="7"/>
    <x v="6"/>
    <n v="16.09"/>
  </r>
  <r>
    <s v="TRX0237"/>
    <d v="2025-07-10T00:00:00"/>
    <x v="3"/>
    <x v="2"/>
    <x v="2"/>
    <x v="5"/>
    <n v="13"/>
    <n v="474558"/>
    <n v="399432"/>
    <n v="6169254"/>
    <n v="5192616"/>
    <n v="14161"/>
    <n v="5000"/>
    <n v="10000"/>
    <n v="5221777"/>
    <n v="947477"/>
    <x v="0"/>
    <n v="7"/>
    <x v="6"/>
    <n v="15.36"/>
  </r>
  <r>
    <s v="TRX0160"/>
    <d v="2025-07-12T00:00:00"/>
    <x v="2"/>
    <x v="1"/>
    <x v="1"/>
    <x v="5"/>
    <n v="8"/>
    <n v="170924"/>
    <n v="137195"/>
    <n v="1367392"/>
    <n v="1097560"/>
    <n v="24702"/>
    <n v="0"/>
    <n v="5000"/>
    <n v="1127262"/>
    <n v="240130"/>
    <x v="0"/>
    <n v="7"/>
    <x v="6"/>
    <n v="17.559999999999999"/>
  </r>
  <r>
    <s v="TRX0186"/>
    <d v="2025-07-15T00:00:00"/>
    <x v="3"/>
    <x v="1"/>
    <x v="1"/>
    <x v="0"/>
    <n v="14"/>
    <n v="175656"/>
    <n v="135881"/>
    <n v="2459184"/>
    <n v="1902334"/>
    <n v="19845"/>
    <n v="10000"/>
    <n v="2000"/>
    <n v="1934179"/>
    <n v="525005"/>
    <x v="0"/>
    <n v="7"/>
    <x v="6"/>
    <n v="21.35"/>
  </r>
  <r>
    <s v="TRX0075"/>
    <d v="2025-07-15T00:00:00"/>
    <x v="0"/>
    <x v="2"/>
    <x v="2"/>
    <x v="2"/>
    <n v="12"/>
    <n v="497652"/>
    <n v="394317"/>
    <n v="5971824"/>
    <n v="4731804"/>
    <n v="16092"/>
    <n v="15000"/>
    <n v="8000"/>
    <n v="4770896"/>
    <n v="1200928"/>
    <x v="0"/>
    <n v="7"/>
    <x v="6"/>
    <n v="20.11"/>
  </r>
  <r>
    <s v="TRX0226"/>
    <d v="2025-07-16T00:00:00"/>
    <x v="3"/>
    <x v="5"/>
    <x v="1"/>
    <x v="5"/>
    <n v="9"/>
    <n v="219136"/>
    <n v="184374"/>
    <n v="1972224"/>
    <n v="1659366"/>
    <n v="18440"/>
    <n v="10000"/>
    <n v="3000"/>
    <n v="1690806"/>
    <n v="281418"/>
    <x v="0"/>
    <n v="7"/>
    <x v="6"/>
    <n v="14.27"/>
  </r>
  <r>
    <s v="TRX0088"/>
    <d v="2025-07-22T00:00:00"/>
    <x v="1"/>
    <x v="4"/>
    <x v="2"/>
    <x v="3"/>
    <n v="9"/>
    <n v="145721"/>
    <n v="101471"/>
    <n v="1311489"/>
    <n v="913239"/>
    <n v="13704"/>
    <n v="5000"/>
    <n v="2000"/>
    <n v="933943"/>
    <n v="377546"/>
    <x v="0"/>
    <n v="7"/>
    <x v="6"/>
    <n v="28.79"/>
  </r>
  <r>
    <s v="TRX0074"/>
    <d v="2025-08-06T00:00:00"/>
    <x v="3"/>
    <x v="1"/>
    <x v="1"/>
    <x v="4"/>
    <n v="6"/>
    <n v="163910"/>
    <n v="132025"/>
    <n v="983460"/>
    <n v="792150"/>
    <n v="17565"/>
    <n v="20000"/>
    <n v="2000"/>
    <n v="831715"/>
    <n v="151745"/>
    <x v="0"/>
    <n v="8"/>
    <x v="7"/>
    <n v="15.43"/>
  </r>
  <r>
    <s v="TRX0177"/>
    <d v="2025-08-09T00:00:00"/>
    <x v="2"/>
    <x v="5"/>
    <x v="1"/>
    <x v="3"/>
    <n v="12"/>
    <n v="231295"/>
    <n v="174398"/>
    <n v="2775540"/>
    <n v="2092776"/>
    <n v="18050"/>
    <n v="5000"/>
    <n v="5000"/>
    <n v="2120826"/>
    <n v="654714"/>
    <x v="0"/>
    <n v="8"/>
    <x v="7"/>
    <n v="23.59"/>
  </r>
  <r>
    <s v="TRX0054"/>
    <d v="2025-08-13T00:00:00"/>
    <x v="2"/>
    <x v="5"/>
    <x v="1"/>
    <x v="2"/>
    <n v="8"/>
    <n v="213650"/>
    <n v="171047"/>
    <n v="1709200"/>
    <n v="1368376"/>
    <n v="11220"/>
    <n v="15000"/>
    <n v="3000"/>
    <n v="1397596"/>
    <n v="311604"/>
    <x v="0"/>
    <n v="8"/>
    <x v="7"/>
    <n v="18.23"/>
  </r>
  <r>
    <s v="TRX0061"/>
    <d v="2025-08-14T00:00:00"/>
    <x v="0"/>
    <x v="4"/>
    <x v="2"/>
    <x v="2"/>
    <n v="5"/>
    <n v="144146"/>
    <n v="100085"/>
    <n v="720730"/>
    <n v="500425"/>
    <n v="20018"/>
    <n v="15000"/>
    <n v="3000"/>
    <n v="538443"/>
    <n v="182287"/>
    <x v="0"/>
    <n v="8"/>
    <x v="7"/>
    <n v="25.29"/>
  </r>
  <r>
    <s v="TRX0148"/>
    <d v="2025-08-14T00:00:00"/>
    <x v="2"/>
    <x v="4"/>
    <x v="2"/>
    <x v="0"/>
    <n v="1"/>
    <n v="132692"/>
    <n v="103231"/>
    <n v="132692"/>
    <n v="103231"/>
    <n v="14901"/>
    <n v="5000"/>
    <n v="5000"/>
    <n v="128132"/>
    <n v="4560"/>
    <x v="0"/>
    <n v="8"/>
    <x v="7"/>
    <n v="3.44"/>
  </r>
  <r>
    <s v="TRX0043"/>
    <d v="2025-08-17T00:00:00"/>
    <x v="0"/>
    <x v="2"/>
    <x v="2"/>
    <x v="2"/>
    <n v="7"/>
    <n v="492190"/>
    <n v="407581"/>
    <n v="3445330"/>
    <n v="2853067"/>
    <n v="17682"/>
    <n v="10000"/>
    <n v="10000"/>
    <n v="2890749"/>
    <n v="554581"/>
    <x v="0"/>
    <n v="8"/>
    <x v="7"/>
    <n v="16.100000000000001"/>
  </r>
  <r>
    <s v="TRX0065"/>
    <d v="2025-08-18T00:00:00"/>
    <x v="1"/>
    <x v="0"/>
    <x v="0"/>
    <x v="3"/>
    <n v="13"/>
    <n v="26850"/>
    <n v="13362"/>
    <n v="349050"/>
    <n v="173706"/>
    <n v="6016"/>
    <n v="5000"/>
    <n v="3000"/>
    <n v="187722"/>
    <n v="161328"/>
    <x v="0"/>
    <n v="8"/>
    <x v="7"/>
    <n v="46.22"/>
  </r>
  <r>
    <s v="TRX0198"/>
    <d v="2025-08-18T00:00:00"/>
    <x v="0"/>
    <x v="2"/>
    <x v="2"/>
    <x v="4"/>
    <n v="13"/>
    <n v="478954"/>
    <n v="404407"/>
    <n v="6226402"/>
    <n v="5257291"/>
    <n v="7326"/>
    <n v="10000"/>
    <n v="10000"/>
    <n v="5284617"/>
    <n v="941785"/>
    <x v="0"/>
    <n v="8"/>
    <x v="7"/>
    <n v="15.13"/>
  </r>
  <r>
    <s v="TRX0167"/>
    <d v="2025-08-20T00:00:00"/>
    <x v="0"/>
    <x v="5"/>
    <x v="1"/>
    <x v="3"/>
    <n v="2"/>
    <n v="226117"/>
    <n v="181421"/>
    <n v="452234"/>
    <n v="362842"/>
    <n v="27044"/>
    <n v="20000"/>
    <n v="10000"/>
    <n v="419886"/>
    <n v="32348"/>
    <x v="0"/>
    <n v="8"/>
    <x v="7"/>
    <n v="7.15"/>
  </r>
  <r>
    <s v="TRX0120"/>
    <d v="2025-08-20T00:00:00"/>
    <x v="4"/>
    <x v="0"/>
    <x v="0"/>
    <x v="4"/>
    <n v="14"/>
    <n v="23948"/>
    <n v="13863"/>
    <n v="335272"/>
    <n v="194082"/>
    <n v="22411"/>
    <n v="0"/>
    <n v="5000"/>
    <n v="221493"/>
    <n v="113779"/>
    <x v="0"/>
    <n v="8"/>
    <x v="7"/>
    <n v="33.94"/>
  </r>
  <r>
    <s v="TRX0084"/>
    <d v="2025-08-20T00:00:00"/>
    <x v="4"/>
    <x v="3"/>
    <x v="0"/>
    <x v="4"/>
    <n v="8"/>
    <n v="33990"/>
    <n v="20637"/>
    <n v="271920"/>
    <n v="165096"/>
    <n v="30355"/>
    <n v="15000"/>
    <n v="5000"/>
    <n v="215451"/>
    <n v="56469"/>
    <x v="0"/>
    <n v="8"/>
    <x v="7"/>
    <n v="20.77"/>
  </r>
  <r>
    <s v="TRX0116"/>
    <d v="2025-08-24T00:00:00"/>
    <x v="3"/>
    <x v="3"/>
    <x v="0"/>
    <x v="5"/>
    <n v="4"/>
    <n v="33498"/>
    <n v="21384"/>
    <n v="133992"/>
    <n v="85536"/>
    <n v="34010"/>
    <n v="5000"/>
    <n v="2000"/>
    <n v="126546"/>
    <n v="7446"/>
    <x v="0"/>
    <n v="8"/>
    <x v="7"/>
    <n v="5.56"/>
  </r>
  <r>
    <s v="TRX0087"/>
    <d v="2025-08-26T00:00:00"/>
    <x v="3"/>
    <x v="1"/>
    <x v="1"/>
    <x v="5"/>
    <n v="12"/>
    <n v="177502"/>
    <n v="124518"/>
    <n v="2130024"/>
    <n v="1494216"/>
    <n v="15810"/>
    <n v="10000"/>
    <n v="10000"/>
    <n v="1530026"/>
    <n v="599998"/>
    <x v="0"/>
    <n v="8"/>
    <x v="7"/>
    <n v="28.17"/>
  </r>
  <r>
    <s v="TRX0129"/>
    <d v="2025-08-27T00:00:00"/>
    <x v="0"/>
    <x v="1"/>
    <x v="1"/>
    <x v="0"/>
    <n v="13"/>
    <n v="184218"/>
    <n v="123541"/>
    <n v="2394834"/>
    <n v="1606033"/>
    <n v="12176"/>
    <n v="5000"/>
    <n v="10000"/>
    <n v="1633209"/>
    <n v="761625"/>
    <x v="0"/>
    <n v="8"/>
    <x v="7"/>
    <n v="31.8"/>
  </r>
  <r>
    <s v="TRX0122"/>
    <d v="2025-08-28T00:00:00"/>
    <x v="1"/>
    <x v="4"/>
    <x v="2"/>
    <x v="5"/>
    <n v="10"/>
    <n v="159569"/>
    <n v="106234"/>
    <n v="1595690"/>
    <n v="1062340"/>
    <n v="24991"/>
    <n v="5000"/>
    <n v="2000"/>
    <n v="1094331"/>
    <n v="501359"/>
    <x v="0"/>
    <n v="8"/>
    <x v="7"/>
    <n v="31.42"/>
  </r>
  <r>
    <s v="TRX0030"/>
    <d v="2025-08-29T00:00:00"/>
    <x v="1"/>
    <x v="4"/>
    <x v="2"/>
    <x v="2"/>
    <n v="15"/>
    <n v="152963"/>
    <n v="106437"/>
    <n v="2294445"/>
    <n v="1596555"/>
    <n v="6302"/>
    <n v="20000"/>
    <n v="2000"/>
    <n v="1624857"/>
    <n v="669588"/>
    <x v="0"/>
    <n v="8"/>
    <x v="7"/>
    <n v="29.18"/>
  </r>
  <r>
    <s v="TRX0026"/>
    <d v="2025-08-31T00:00:00"/>
    <x v="4"/>
    <x v="5"/>
    <x v="1"/>
    <x v="3"/>
    <n v="8"/>
    <n v="220014"/>
    <n v="182895"/>
    <n v="1760112"/>
    <n v="1463160"/>
    <n v="8651"/>
    <n v="5000"/>
    <n v="8000"/>
    <n v="1484811"/>
    <n v="275301"/>
    <x v="0"/>
    <n v="8"/>
    <x v="7"/>
    <n v="15.64"/>
  </r>
  <r>
    <s v="TRX0057"/>
    <d v="2025-09-02T00:00:00"/>
    <x v="4"/>
    <x v="1"/>
    <x v="1"/>
    <x v="3"/>
    <n v="2"/>
    <n v="170335"/>
    <n v="126853"/>
    <n v="340670"/>
    <n v="253706"/>
    <n v="20006"/>
    <n v="10000"/>
    <n v="10000"/>
    <n v="293712"/>
    <n v="46958"/>
    <x v="0"/>
    <n v="9"/>
    <x v="8"/>
    <n v="13.78"/>
  </r>
  <r>
    <s v="TRX0098"/>
    <d v="2025-09-03T00:00:00"/>
    <x v="0"/>
    <x v="0"/>
    <x v="0"/>
    <x v="2"/>
    <n v="5"/>
    <n v="24411"/>
    <n v="14150"/>
    <n v="122055"/>
    <n v="70750"/>
    <n v="10068"/>
    <n v="5000"/>
    <n v="2000"/>
    <n v="87818"/>
    <n v="34237"/>
    <x v="0"/>
    <n v="9"/>
    <x v="8"/>
    <n v="28.05"/>
  </r>
  <r>
    <s v="TRX0180"/>
    <d v="2025-09-04T00:00:00"/>
    <x v="4"/>
    <x v="3"/>
    <x v="0"/>
    <x v="4"/>
    <n v="3"/>
    <n v="32901"/>
    <n v="20148"/>
    <n v="98703"/>
    <n v="60444"/>
    <n v="21020"/>
    <n v="0"/>
    <n v="10000"/>
    <n v="91464"/>
    <n v="7239"/>
    <x v="0"/>
    <n v="9"/>
    <x v="8"/>
    <n v="7.33"/>
  </r>
  <r>
    <s v="TRX0017"/>
    <d v="2025-09-04T00:00:00"/>
    <x v="1"/>
    <x v="3"/>
    <x v="0"/>
    <x v="1"/>
    <n v="2"/>
    <n v="36486"/>
    <n v="21835"/>
    <n v="72972"/>
    <n v="43670"/>
    <n v="29923"/>
    <n v="20000"/>
    <n v="3000"/>
    <n v="96593"/>
    <n v="-23621"/>
    <x v="0"/>
    <n v="9"/>
    <x v="8"/>
    <n v="-32.369999999999997"/>
  </r>
  <r>
    <s v="TRX0069"/>
    <d v="2025-09-06T00:00:00"/>
    <x v="3"/>
    <x v="2"/>
    <x v="2"/>
    <x v="4"/>
    <n v="14"/>
    <n v="500911"/>
    <n v="405057"/>
    <n v="7012754"/>
    <n v="5670798"/>
    <n v="29430"/>
    <n v="0"/>
    <n v="5000"/>
    <n v="5705228"/>
    <n v="1307526"/>
    <x v="0"/>
    <n v="9"/>
    <x v="8"/>
    <n v="18.64"/>
  </r>
  <r>
    <s v="TRX0073"/>
    <d v="2025-09-07T00:00:00"/>
    <x v="2"/>
    <x v="4"/>
    <x v="2"/>
    <x v="2"/>
    <n v="10"/>
    <n v="145730"/>
    <n v="103635"/>
    <n v="1457300"/>
    <n v="1036350"/>
    <n v="26496"/>
    <n v="10000"/>
    <n v="3000"/>
    <n v="1075846"/>
    <n v="381454"/>
    <x v="0"/>
    <n v="9"/>
    <x v="8"/>
    <n v="26.18"/>
  </r>
  <r>
    <s v="TRX0239"/>
    <d v="2025-09-12T00:00:00"/>
    <x v="3"/>
    <x v="2"/>
    <x v="2"/>
    <x v="5"/>
    <n v="7"/>
    <n v="470530"/>
    <n v="402836"/>
    <n v="3293710"/>
    <n v="2819852"/>
    <n v="19751"/>
    <n v="10000"/>
    <n v="10000"/>
    <n v="2859603"/>
    <n v="434107"/>
    <x v="0"/>
    <n v="9"/>
    <x v="8"/>
    <n v="13.18"/>
  </r>
  <r>
    <s v="TRX0040"/>
    <d v="2025-09-13T00:00:00"/>
    <x v="1"/>
    <x v="0"/>
    <x v="0"/>
    <x v="1"/>
    <n v="6"/>
    <n v="26230"/>
    <n v="14662"/>
    <n v="157380"/>
    <n v="87972"/>
    <n v="18316"/>
    <n v="20000"/>
    <n v="3000"/>
    <n v="129288"/>
    <n v="28092"/>
    <x v="0"/>
    <n v="9"/>
    <x v="8"/>
    <n v="17.850000000000001"/>
  </r>
  <r>
    <s v="TRX0025"/>
    <d v="2025-09-13T00:00:00"/>
    <x v="4"/>
    <x v="2"/>
    <x v="2"/>
    <x v="3"/>
    <n v="13"/>
    <n v="501871"/>
    <n v="394109"/>
    <n v="6524323"/>
    <n v="5123417"/>
    <n v="8321"/>
    <n v="20000"/>
    <n v="2000"/>
    <n v="5153738"/>
    <n v="1370585"/>
    <x v="0"/>
    <n v="9"/>
    <x v="8"/>
    <n v="21.01"/>
  </r>
  <r>
    <s v="TRX0078"/>
    <d v="2025-09-15T00:00:00"/>
    <x v="1"/>
    <x v="5"/>
    <x v="1"/>
    <x v="1"/>
    <n v="12"/>
    <n v="232071"/>
    <n v="168551"/>
    <n v="2784852"/>
    <n v="2022612"/>
    <n v="22559"/>
    <n v="5000"/>
    <n v="3000"/>
    <n v="2053171"/>
    <n v="731681"/>
    <x v="0"/>
    <n v="9"/>
    <x v="8"/>
    <n v="26.27"/>
  </r>
  <r>
    <s v="TRX0112"/>
    <d v="2025-09-18T00:00:00"/>
    <x v="3"/>
    <x v="4"/>
    <x v="2"/>
    <x v="3"/>
    <n v="11"/>
    <n v="131314"/>
    <n v="109044"/>
    <n v="1444454"/>
    <n v="1199484"/>
    <n v="18031"/>
    <n v="20000"/>
    <n v="3000"/>
    <n v="1240515"/>
    <n v="203939"/>
    <x v="0"/>
    <n v="9"/>
    <x v="8"/>
    <n v="14.12"/>
  </r>
  <r>
    <s v="TRX0005"/>
    <d v="2025-09-28T00:00:00"/>
    <x v="4"/>
    <x v="2"/>
    <x v="2"/>
    <x v="5"/>
    <n v="9"/>
    <n v="453077"/>
    <n v="410066"/>
    <n v="4077693"/>
    <n v="3690594"/>
    <n v="9478"/>
    <n v="20000"/>
    <n v="5000"/>
    <n v="3725072"/>
    <n v="352621"/>
    <x v="0"/>
    <n v="9"/>
    <x v="8"/>
    <n v="8.65"/>
  </r>
  <r>
    <s v="TRX0221"/>
    <d v="2025-09-29T00:00:00"/>
    <x v="2"/>
    <x v="0"/>
    <x v="0"/>
    <x v="5"/>
    <n v="10"/>
    <n v="22839"/>
    <n v="13379"/>
    <n v="228390"/>
    <n v="133790"/>
    <n v="25929"/>
    <n v="5000"/>
    <n v="10000"/>
    <n v="174719"/>
    <n v="53671"/>
    <x v="0"/>
    <n v="9"/>
    <x v="8"/>
    <n v="23.5"/>
  </r>
  <r>
    <s v="TRX0097"/>
    <d v="2025-10-01T00:00:00"/>
    <x v="0"/>
    <x v="3"/>
    <x v="0"/>
    <x v="5"/>
    <n v="15"/>
    <n v="32939"/>
    <n v="21985"/>
    <n v="494085"/>
    <n v="329775"/>
    <n v="26104"/>
    <n v="0"/>
    <n v="2000"/>
    <n v="357879"/>
    <n v="136206"/>
    <x v="0"/>
    <n v="10"/>
    <x v="9"/>
    <n v="27.57"/>
  </r>
  <r>
    <s v="TRX0092"/>
    <d v="2025-10-03T00:00:00"/>
    <x v="1"/>
    <x v="3"/>
    <x v="0"/>
    <x v="1"/>
    <n v="13"/>
    <n v="36606"/>
    <n v="21037"/>
    <n v="475878"/>
    <n v="273481"/>
    <n v="26348"/>
    <n v="15000"/>
    <n v="5000"/>
    <n v="319829"/>
    <n v="156049"/>
    <x v="0"/>
    <n v="10"/>
    <x v="9"/>
    <n v="32.79"/>
  </r>
  <r>
    <s v="TRX0101"/>
    <d v="2025-10-10T00:00:00"/>
    <x v="3"/>
    <x v="4"/>
    <x v="2"/>
    <x v="4"/>
    <n v="15"/>
    <n v="146514"/>
    <n v="102836"/>
    <n v="2197710"/>
    <n v="1542540"/>
    <n v="6355"/>
    <n v="10000"/>
    <n v="5000"/>
    <n v="1563895"/>
    <n v="633815"/>
    <x v="0"/>
    <n v="10"/>
    <x v="9"/>
    <n v="28.84"/>
  </r>
  <r>
    <s v="TRX0004"/>
    <d v="2025-10-12T00:00:00"/>
    <x v="0"/>
    <x v="5"/>
    <x v="1"/>
    <x v="4"/>
    <n v="13"/>
    <n v="227433"/>
    <n v="168035"/>
    <n v="2956629"/>
    <n v="2184455"/>
    <n v="10211"/>
    <n v="10000"/>
    <n v="5000"/>
    <n v="2209666"/>
    <n v="746963"/>
    <x v="0"/>
    <n v="10"/>
    <x v="9"/>
    <n v="25.26"/>
  </r>
  <r>
    <s v="TRX0036"/>
    <d v="2025-10-16T00:00:00"/>
    <x v="0"/>
    <x v="3"/>
    <x v="0"/>
    <x v="0"/>
    <n v="12"/>
    <n v="33197"/>
    <n v="21538"/>
    <n v="398364"/>
    <n v="258456"/>
    <n v="17062"/>
    <n v="20000"/>
    <n v="8000"/>
    <n v="303518"/>
    <n v="94846"/>
    <x v="0"/>
    <n v="10"/>
    <x v="9"/>
    <n v="23.81"/>
  </r>
  <r>
    <s v="TRX0203"/>
    <d v="2025-10-18T00:00:00"/>
    <x v="3"/>
    <x v="2"/>
    <x v="2"/>
    <x v="4"/>
    <n v="4"/>
    <n v="497580"/>
    <n v="394131"/>
    <n v="1990320"/>
    <n v="1576524"/>
    <n v="11376"/>
    <n v="10000"/>
    <n v="10000"/>
    <n v="1607900"/>
    <n v="382420"/>
    <x v="0"/>
    <n v="10"/>
    <x v="9"/>
    <n v="19.21"/>
  </r>
  <r>
    <s v="TRX0034"/>
    <d v="2025-10-19T00:00:00"/>
    <x v="4"/>
    <x v="5"/>
    <x v="1"/>
    <x v="5"/>
    <n v="14"/>
    <n v="221905"/>
    <n v="172073"/>
    <n v="3106670"/>
    <n v="2409022"/>
    <n v="33036"/>
    <n v="20000"/>
    <n v="2000"/>
    <n v="2464058"/>
    <n v="642612"/>
    <x v="0"/>
    <n v="10"/>
    <x v="9"/>
    <n v="20.68"/>
  </r>
  <r>
    <s v="TRX0229"/>
    <d v="2025-10-22T00:00:00"/>
    <x v="1"/>
    <x v="0"/>
    <x v="0"/>
    <x v="1"/>
    <n v="6"/>
    <n v="26734"/>
    <n v="14310"/>
    <n v="160404"/>
    <n v="85860"/>
    <n v="29488"/>
    <n v="15000"/>
    <n v="3000"/>
    <n v="133348"/>
    <n v="27056"/>
    <x v="0"/>
    <n v="10"/>
    <x v="9"/>
    <n v="16.87"/>
  </r>
  <r>
    <s v="TRX0110"/>
    <d v="2025-10-28T00:00:00"/>
    <x v="3"/>
    <x v="1"/>
    <x v="1"/>
    <x v="1"/>
    <n v="7"/>
    <n v="160768"/>
    <n v="131096"/>
    <n v="1125376"/>
    <n v="917672"/>
    <n v="29430"/>
    <n v="5000"/>
    <n v="3000"/>
    <n v="955102"/>
    <n v="170274"/>
    <x v="0"/>
    <n v="10"/>
    <x v="9"/>
    <n v="15.13"/>
  </r>
  <r>
    <s v="TRX0028"/>
    <d v="2025-10-31T00:00:00"/>
    <x v="1"/>
    <x v="5"/>
    <x v="1"/>
    <x v="4"/>
    <n v="10"/>
    <n v="250321"/>
    <n v="167423"/>
    <n v="2503210"/>
    <n v="1674230"/>
    <n v="15276"/>
    <n v="0"/>
    <n v="2000"/>
    <n v="1691506"/>
    <n v="811704"/>
    <x v="0"/>
    <n v="10"/>
    <x v="9"/>
    <n v="32.43"/>
  </r>
  <r>
    <s v="TRX0235"/>
    <d v="2025-11-02T00:00:00"/>
    <x v="2"/>
    <x v="3"/>
    <x v="0"/>
    <x v="2"/>
    <n v="2"/>
    <n v="35202"/>
    <n v="20724"/>
    <n v="70404"/>
    <n v="41448"/>
    <n v="24860"/>
    <n v="20000"/>
    <n v="10000"/>
    <n v="96308"/>
    <n v="-25904"/>
    <x v="0"/>
    <n v="11"/>
    <x v="10"/>
    <n v="-36.79"/>
  </r>
  <r>
    <s v="TRX0090"/>
    <d v="2025-11-08T00:00:00"/>
    <x v="4"/>
    <x v="0"/>
    <x v="0"/>
    <x v="2"/>
    <n v="5"/>
    <n v="22979"/>
    <n v="14060"/>
    <n v="114895"/>
    <n v="70300"/>
    <n v="9544"/>
    <n v="20000"/>
    <n v="2000"/>
    <n v="101844"/>
    <n v="13051"/>
    <x v="0"/>
    <n v="11"/>
    <x v="10"/>
    <n v="11.36"/>
  </r>
  <r>
    <s v="TRX0143"/>
    <d v="2025-11-13T00:00:00"/>
    <x v="3"/>
    <x v="1"/>
    <x v="1"/>
    <x v="1"/>
    <n v="1"/>
    <n v="161607"/>
    <n v="125548"/>
    <n v="161607"/>
    <n v="125548"/>
    <n v="33174"/>
    <n v="15000"/>
    <n v="2000"/>
    <n v="175722"/>
    <n v="-14115"/>
    <x v="0"/>
    <n v="11"/>
    <x v="10"/>
    <n v="-8.73"/>
  </r>
  <r>
    <s v="TRX0019"/>
    <d v="2025-11-16T00:00:00"/>
    <x v="3"/>
    <x v="4"/>
    <x v="2"/>
    <x v="0"/>
    <n v="8"/>
    <n v="148699"/>
    <n v="104965"/>
    <n v="1189592"/>
    <n v="839720"/>
    <n v="16404"/>
    <n v="5000"/>
    <n v="2000"/>
    <n v="863124"/>
    <n v="326468"/>
    <x v="0"/>
    <n v="11"/>
    <x v="10"/>
    <n v="27.44"/>
  </r>
  <r>
    <s v="TRX0140"/>
    <d v="2025-11-16T00:00:00"/>
    <x v="1"/>
    <x v="1"/>
    <x v="1"/>
    <x v="0"/>
    <n v="10"/>
    <n v="181987"/>
    <n v="125713"/>
    <n v="1819870"/>
    <n v="1257130"/>
    <n v="20800"/>
    <n v="5000"/>
    <n v="2000"/>
    <n v="1284930"/>
    <n v="534940"/>
    <x v="0"/>
    <n v="11"/>
    <x v="10"/>
    <n v="29.39"/>
  </r>
  <r>
    <s v="TRX0211"/>
    <d v="2025-11-17T00:00:00"/>
    <x v="0"/>
    <x v="5"/>
    <x v="1"/>
    <x v="3"/>
    <n v="8"/>
    <n v="248702"/>
    <n v="175236"/>
    <n v="1989616"/>
    <n v="1401888"/>
    <n v="18888"/>
    <n v="15000"/>
    <n v="2000"/>
    <n v="1437776"/>
    <n v="551840"/>
    <x v="0"/>
    <n v="11"/>
    <x v="10"/>
    <n v="27.74"/>
  </r>
  <r>
    <s v="TRX0151"/>
    <d v="2025-11-17T00:00:00"/>
    <x v="4"/>
    <x v="3"/>
    <x v="0"/>
    <x v="3"/>
    <n v="10"/>
    <n v="31742"/>
    <n v="21429"/>
    <n v="317420"/>
    <n v="214290"/>
    <n v="18108"/>
    <n v="0"/>
    <n v="8000"/>
    <n v="240398"/>
    <n v="77022"/>
    <x v="0"/>
    <n v="11"/>
    <x v="10"/>
    <n v="24.27"/>
  </r>
  <r>
    <s v="TRX0010"/>
    <d v="2025-11-19T00:00:00"/>
    <x v="4"/>
    <x v="5"/>
    <x v="1"/>
    <x v="1"/>
    <n v="7"/>
    <n v="232346"/>
    <n v="178625"/>
    <n v="1626422"/>
    <n v="1250375"/>
    <n v="12101"/>
    <n v="10000"/>
    <n v="3000"/>
    <n v="1275476"/>
    <n v="350946"/>
    <x v="0"/>
    <n v="11"/>
    <x v="10"/>
    <n v="21.58"/>
  </r>
  <r>
    <s v="TRX0157"/>
    <d v="2025-11-20T00:00:00"/>
    <x v="4"/>
    <x v="5"/>
    <x v="1"/>
    <x v="0"/>
    <n v="2"/>
    <n v="219634"/>
    <n v="178404"/>
    <n v="439268"/>
    <n v="356808"/>
    <n v="17500"/>
    <n v="20000"/>
    <n v="2000"/>
    <n v="396308"/>
    <n v="42960"/>
    <x v="0"/>
    <n v="11"/>
    <x v="10"/>
    <n v="9.7799999999999994"/>
  </r>
  <r>
    <s v="TRX0233"/>
    <d v="2025-11-25T00:00:00"/>
    <x v="1"/>
    <x v="1"/>
    <x v="1"/>
    <x v="1"/>
    <n v="15"/>
    <n v="188572"/>
    <n v="132828"/>
    <n v="2828580"/>
    <n v="1992420"/>
    <n v="12609"/>
    <n v="20000"/>
    <n v="2000"/>
    <n v="2027029"/>
    <n v="801551"/>
    <x v="0"/>
    <n v="11"/>
    <x v="10"/>
    <n v="28.34"/>
  </r>
  <r>
    <s v="TRX0050"/>
    <d v="2025-11-26T00:00:00"/>
    <x v="4"/>
    <x v="4"/>
    <x v="2"/>
    <x v="0"/>
    <n v="8"/>
    <n v="141221"/>
    <n v="105654"/>
    <n v="1129768"/>
    <n v="845232"/>
    <n v="36394"/>
    <n v="5000"/>
    <n v="2000"/>
    <n v="888626"/>
    <n v="241142"/>
    <x v="0"/>
    <n v="11"/>
    <x v="10"/>
    <n v="21.34"/>
  </r>
  <r>
    <s v="TRX0091"/>
    <d v="2025-11-27T00:00:00"/>
    <x v="3"/>
    <x v="3"/>
    <x v="0"/>
    <x v="5"/>
    <n v="1"/>
    <n v="31013"/>
    <n v="22172"/>
    <n v="31013"/>
    <n v="22172"/>
    <n v="29810"/>
    <n v="20000"/>
    <n v="2000"/>
    <n v="73982"/>
    <n v="-42969"/>
    <x v="0"/>
    <n v="11"/>
    <x v="10"/>
    <n v="-138.55000000000001"/>
  </r>
  <r>
    <s v="TRX0145"/>
    <d v="2025-11-29T00:00:00"/>
    <x v="2"/>
    <x v="3"/>
    <x v="0"/>
    <x v="5"/>
    <n v="2"/>
    <n v="34995"/>
    <n v="20309"/>
    <n v="69990"/>
    <n v="40618"/>
    <n v="37151"/>
    <n v="20000"/>
    <n v="2000"/>
    <n v="99769"/>
    <n v="-29779"/>
    <x v="0"/>
    <n v="11"/>
    <x v="10"/>
    <n v="-42.55"/>
  </r>
  <r>
    <s v="TRX0152"/>
    <d v="2025-11-29T00:00:00"/>
    <x v="2"/>
    <x v="5"/>
    <x v="1"/>
    <x v="1"/>
    <n v="8"/>
    <n v="238343"/>
    <n v="183956"/>
    <n v="1906744"/>
    <n v="1471648"/>
    <n v="9859"/>
    <n v="15000"/>
    <n v="2000"/>
    <n v="1498507"/>
    <n v="408237"/>
    <x v="0"/>
    <n v="11"/>
    <x v="10"/>
    <n v="21.41"/>
  </r>
  <r>
    <s v="TRX0135"/>
    <d v="2025-11-29T00:00:00"/>
    <x v="2"/>
    <x v="4"/>
    <x v="2"/>
    <x v="5"/>
    <n v="9"/>
    <n v="138361"/>
    <n v="105589"/>
    <n v="1245249"/>
    <n v="950301"/>
    <n v="23870"/>
    <n v="0"/>
    <n v="2000"/>
    <n v="976171"/>
    <n v="269078"/>
    <x v="0"/>
    <n v="11"/>
    <x v="10"/>
    <n v="21.61"/>
  </r>
  <r>
    <s v="TRX0009"/>
    <d v="2025-11-29T00:00:00"/>
    <x v="0"/>
    <x v="2"/>
    <x v="2"/>
    <x v="4"/>
    <n v="14"/>
    <n v="471491"/>
    <n v="384033"/>
    <n v="6600874"/>
    <n v="5376462"/>
    <n v="17216"/>
    <n v="0"/>
    <n v="3000"/>
    <n v="5396678"/>
    <n v="1204196"/>
    <x v="0"/>
    <n v="11"/>
    <x v="10"/>
    <n v="18.239999999999998"/>
  </r>
  <r>
    <s v="TRX0149"/>
    <d v="2025-12-02T00:00:00"/>
    <x v="1"/>
    <x v="2"/>
    <x v="2"/>
    <x v="4"/>
    <n v="8"/>
    <n v="543183"/>
    <n v="378037"/>
    <n v="4345464"/>
    <n v="3024296"/>
    <n v="17458"/>
    <n v="20000"/>
    <n v="3000"/>
    <n v="3064754"/>
    <n v="1280710"/>
    <x v="0"/>
    <n v="12"/>
    <x v="11"/>
    <n v="29.47"/>
  </r>
  <r>
    <s v="TRX0163"/>
    <d v="2025-12-09T00:00:00"/>
    <x v="3"/>
    <x v="2"/>
    <x v="2"/>
    <x v="0"/>
    <n v="2"/>
    <n v="492360"/>
    <n v="387084"/>
    <n v="984720"/>
    <n v="774168"/>
    <n v="16571"/>
    <n v="20000"/>
    <n v="3000"/>
    <n v="813739"/>
    <n v="170981"/>
    <x v="0"/>
    <n v="12"/>
    <x v="11"/>
    <n v="17.36"/>
  </r>
  <r>
    <s v="TRX0168"/>
    <d v="2025-12-11T00:00:00"/>
    <x v="0"/>
    <x v="3"/>
    <x v="0"/>
    <x v="5"/>
    <n v="10"/>
    <n v="33356"/>
    <n v="20325"/>
    <n v="333560"/>
    <n v="203250"/>
    <n v="34629"/>
    <n v="20000"/>
    <n v="3000"/>
    <n v="260879"/>
    <n v="72681"/>
    <x v="0"/>
    <n v="12"/>
    <x v="11"/>
    <n v="21.79"/>
  </r>
  <r>
    <s v="TRX0024"/>
    <d v="2025-12-14T00:00:00"/>
    <x v="0"/>
    <x v="2"/>
    <x v="2"/>
    <x v="2"/>
    <n v="4"/>
    <n v="482541"/>
    <n v="389746"/>
    <n v="1930164"/>
    <n v="1558984"/>
    <n v="23530"/>
    <n v="5000"/>
    <n v="5000"/>
    <n v="1592514"/>
    <n v="337650"/>
    <x v="0"/>
    <n v="12"/>
    <x v="11"/>
    <n v="17.489999999999998"/>
  </r>
  <r>
    <s v="TRX0208"/>
    <d v="2025-12-15T00:00:00"/>
    <x v="0"/>
    <x v="3"/>
    <x v="0"/>
    <x v="0"/>
    <n v="6"/>
    <n v="35636"/>
    <n v="20688"/>
    <n v="213816"/>
    <n v="124128"/>
    <n v="20396"/>
    <n v="15000"/>
    <n v="3000"/>
    <n v="162524"/>
    <n v="51292"/>
    <x v="0"/>
    <n v="12"/>
    <x v="11"/>
    <n v="23.99"/>
  </r>
  <r>
    <s v="TRX0174"/>
    <d v="2025-12-24T00:00:00"/>
    <x v="4"/>
    <x v="2"/>
    <x v="2"/>
    <x v="1"/>
    <n v="1"/>
    <n v="471072"/>
    <n v="386543"/>
    <n v="471072"/>
    <n v="386543"/>
    <n v="22066"/>
    <n v="0"/>
    <n v="5000"/>
    <n v="413609"/>
    <n v="57463"/>
    <x v="0"/>
    <n v="12"/>
    <x v="11"/>
    <n v="12.2"/>
  </r>
  <r>
    <s v="TRX0080"/>
    <d v="2026-01-05T00:00:00"/>
    <x v="3"/>
    <x v="5"/>
    <x v="1"/>
    <x v="0"/>
    <n v="1"/>
    <n v="231932"/>
    <n v="168687"/>
    <n v="231932"/>
    <n v="168687"/>
    <n v="8114"/>
    <n v="0"/>
    <n v="10000"/>
    <n v="186801"/>
    <n v="45131"/>
    <x v="1"/>
    <n v="1"/>
    <x v="0"/>
    <n v="19.46"/>
  </r>
  <r>
    <s v="TRX0132"/>
    <d v="2026-01-06T00:00:00"/>
    <x v="2"/>
    <x v="3"/>
    <x v="0"/>
    <x v="0"/>
    <n v="2"/>
    <n v="33008"/>
    <n v="20462"/>
    <n v="66016"/>
    <n v="40924"/>
    <n v="31444"/>
    <n v="0"/>
    <n v="10000"/>
    <n v="82368"/>
    <n v="-16352"/>
    <x v="1"/>
    <n v="1"/>
    <x v="0"/>
    <n v="-24.77"/>
  </r>
  <r>
    <s v="TRX0006"/>
    <d v="2026-01-06T00:00:00"/>
    <x v="0"/>
    <x v="3"/>
    <x v="0"/>
    <x v="3"/>
    <n v="12"/>
    <n v="31911"/>
    <n v="21478"/>
    <n v="382932"/>
    <n v="257736"/>
    <n v="18102"/>
    <n v="0"/>
    <n v="3000"/>
    <n v="278838"/>
    <n v="104094"/>
    <x v="1"/>
    <n v="1"/>
    <x v="0"/>
    <n v="27.18"/>
  </r>
  <r>
    <s v="TRX0071"/>
    <d v="2026-01-06T00:00:00"/>
    <x v="4"/>
    <x v="0"/>
    <x v="0"/>
    <x v="4"/>
    <n v="12"/>
    <n v="21872"/>
    <n v="13571"/>
    <n v="262464"/>
    <n v="162852"/>
    <n v="27620"/>
    <n v="10000"/>
    <n v="10000"/>
    <n v="210472"/>
    <n v="51992"/>
    <x v="1"/>
    <n v="1"/>
    <x v="0"/>
    <n v="19.809999999999999"/>
  </r>
  <r>
    <s v="TRX0199"/>
    <d v="2026-01-13T00:00:00"/>
    <x v="2"/>
    <x v="4"/>
    <x v="2"/>
    <x v="4"/>
    <n v="3"/>
    <n v="144620"/>
    <n v="100746"/>
    <n v="433860"/>
    <n v="302238"/>
    <n v="18918"/>
    <n v="15000"/>
    <n v="8000"/>
    <n v="344156"/>
    <n v="89704"/>
    <x v="1"/>
    <n v="1"/>
    <x v="0"/>
    <n v="20.68"/>
  </r>
  <r>
    <s v="TRX0039"/>
    <d v="2026-01-14T00:00:00"/>
    <x v="2"/>
    <x v="3"/>
    <x v="0"/>
    <x v="1"/>
    <n v="3"/>
    <n v="32906"/>
    <n v="20047"/>
    <n v="98718"/>
    <n v="60141"/>
    <n v="21185"/>
    <n v="0"/>
    <n v="5000"/>
    <n v="86326"/>
    <n v="12392"/>
    <x v="1"/>
    <n v="1"/>
    <x v="0"/>
    <n v="12.55"/>
  </r>
  <r>
    <s v="TRX0216"/>
    <d v="2026-01-18T00:00:00"/>
    <x v="2"/>
    <x v="1"/>
    <x v="1"/>
    <x v="3"/>
    <n v="6"/>
    <n v="176932"/>
    <n v="126347"/>
    <n v="1061592"/>
    <n v="758082"/>
    <n v="27102"/>
    <n v="15000"/>
    <n v="10000"/>
    <n v="810184"/>
    <n v="251408"/>
    <x v="1"/>
    <n v="1"/>
    <x v="0"/>
    <n v="23.68"/>
  </r>
  <r>
    <s v="TRX0103"/>
    <d v="2026-01-22T00:00:00"/>
    <x v="3"/>
    <x v="4"/>
    <x v="2"/>
    <x v="2"/>
    <n v="14"/>
    <n v="134814"/>
    <n v="107806"/>
    <n v="1887396"/>
    <n v="1509284"/>
    <n v="29670"/>
    <n v="15000"/>
    <n v="3000"/>
    <n v="1556954"/>
    <n v="330442"/>
    <x v="1"/>
    <n v="1"/>
    <x v="0"/>
    <n v="17.510000000000002"/>
  </r>
  <r>
    <s v="TRX0064"/>
    <d v="2026-01-24T00:00:00"/>
    <x v="4"/>
    <x v="1"/>
    <x v="1"/>
    <x v="0"/>
    <n v="5"/>
    <n v="173118"/>
    <n v="130225"/>
    <n v="865590"/>
    <n v="651125"/>
    <n v="36930"/>
    <n v="20000"/>
    <n v="2000"/>
    <n v="710055"/>
    <n v="155535"/>
    <x v="1"/>
    <n v="1"/>
    <x v="0"/>
    <n v="17.97"/>
  </r>
  <r>
    <s v="TRX0222"/>
    <d v="2026-01-25T00:00:00"/>
    <x v="0"/>
    <x v="5"/>
    <x v="1"/>
    <x v="0"/>
    <n v="1"/>
    <n v="235045"/>
    <n v="179735"/>
    <n v="235045"/>
    <n v="179735"/>
    <n v="14064"/>
    <n v="0"/>
    <n v="8000"/>
    <n v="201799"/>
    <n v="33246"/>
    <x v="1"/>
    <n v="1"/>
    <x v="0"/>
    <n v="14.14"/>
  </r>
  <r>
    <s v="TRX0007"/>
    <d v="2026-01-25T00:00:00"/>
    <x v="4"/>
    <x v="1"/>
    <x v="1"/>
    <x v="5"/>
    <n v="11"/>
    <n v="173100"/>
    <n v="125826"/>
    <n v="1904100"/>
    <n v="1384086"/>
    <n v="20801"/>
    <n v="5000"/>
    <n v="5000"/>
    <n v="1414887"/>
    <n v="489213"/>
    <x v="1"/>
    <n v="1"/>
    <x v="0"/>
    <n v="25.69"/>
  </r>
  <r>
    <s v="TRX0114"/>
    <d v="2026-01-29T00:00:00"/>
    <x v="1"/>
    <x v="4"/>
    <x v="2"/>
    <x v="5"/>
    <n v="4"/>
    <n v="149009"/>
    <n v="103896"/>
    <n v="596036"/>
    <n v="415584"/>
    <n v="14695"/>
    <n v="10000"/>
    <n v="2000"/>
    <n v="442279"/>
    <n v="153757"/>
    <x v="1"/>
    <n v="1"/>
    <x v="0"/>
    <n v="25.8"/>
  </r>
  <r>
    <s v="TRX0027"/>
    <d v="2026-02-04T00:00:00"/>
    <x v="4"/>
    <x v="1"/>
    <x v="1"/>
    <x v="1"/>
    <n v="5"/>
    <n v="163672"/>
    <n v="137190"/>
    <n v="818360"/>
    <n v="685950"/>
    <n v="29014"/>
    <n v="15000"/>
    <n v="3000"/>
    <n v="732964"/>
    <n v="85396"/>
    <x v="1"/>
    <n v="2"/>
    <x v="1"/>
    <n v="10.44"/>
  </r>
  <r>
    <s v="TRX0212"/>
    <d v="2026-02-07T00:00:00"/>
    <x v="4"/>
    <x v="3"/>
    <x v="0"/>
    <x v="4"/>
    <n v="4"/>
    <n v="30898"/>
    <n v="20765"/>
    <n v="123592"/>
    <n v="83060"/>
    <n v="8320"/>
    <n v="10000"/>
    <n v="8000"/>
    <n v="109380"/>
    <n v="14212"/>
    <x v="1"/>
    <n v="2"/>
    <x v="1"/>
    <n v="11.5"/>
  </r>
  <r>
    <s v="TRX0115"/>
    <d v="2026-02-10T00:00:00"/>
    <x v="1"/>
    <x v="1"/>
    <x v="1"/>
    <x v="0"/>
    <n v="10"/>
    <n v="191000"/>
    <n v="134630"/>
    <n v="1910000"/>
    <n v="1346300"/>
    <n v="6607"/>
    <n v="20000"/>
    <n v="8000"/>
    <n v="1380907"/>
    <n v="529093"/>
    <x v="1"/>
    <n v="2"/>
    <x v="1"/>
    <n v="27.7"/>
  </r>
  <r>
    <s v="TRX0032"/>
    <d v="2026-02-10T00:00:00"/>
    <x v="3"/>
    <x v="5"/>
    <x v="1"/>
    <x v="4"/>
    <n v="8"/>
    <n v="219688"/>
    <n v="180723"/>
    <n v="1757504"/>
    <n v="1445784"/>
    <n v="9221"/>
    <n v="0"/>
    <n v="8000"/>
    <n v="1463005"/>
    <n v="294499"/>
    <x v="1"/>
    <n v="2"/>
    <x v="1"/>
    <n v="16.760000000000002"/>
  </r>
  <r>
    <s v="TRX0194"/>
    <d v="2026-02-12T00:00:00"/>
    <x v="3"/>
    <x v="1"/>
    <x v="1"/>
    <x v="2"/>
    <n v="4"/>
    <n v="179867"/>
    <n v="123871"/>
    <n v="719468"/>
    <n v="495484"/>
    <n v="13870"/>
    <n v="15000"/>
    <n v="10000"/>
    <n v="534354"/>
    <n v="185114"/>
    <x v="1"/>
    <n v="2"/>
    <x v="1"/>
    <n v="25.73"/>
  </r>
  <r>
    <s v="TRX0107"/>
    <d v="2026-02-12T00:00:00"/>
    <x v="1"/>
    <x v="0"/>
    <x v="0"/>
    <x v="5"/>
    <n v="14"/>
    <n v="24650"/>
    <n v="14339"/>
    <n v="345100"/>
    <n v="200746"/>
    <n v="22485"/>
    <n v="15000"/>
    <n v="5000"/>
    <n v="243231"/>
    <n v="101869"/>
    <x v="1"/>
    <n v="2"/>
    <x v="1"/>
    <n v="29.52"/>
  </r>
  <r>
    <s v="TRX0127"/>
    <d v="2026-02-12T00:00:00"/>
    <x v="0"/>
    <x v="1"/>
    <x v="1"/>
    <x v="3"/>
    <n v="2"/>
    <n v="185390"/>
    <n v="135286"/>
    <n v="370780"/>
    <n v="270572"/>
    <n v="10004"/>
    <n v="5000"/>
    <n v="10000"/>
    <n v="295576"/>
    <n v="75204"/>
    <x v="1"/>
    <n v="2"/>
    <x v="1"/>
    <n v="20.28"/>
  </r>
  <r>
    <s v="TRX0207"/>
    <d v="2026-02-20T00:00:00"/>
    <x v="4"/>
    <x v="1"/>
    <x v="1"/>
    <x v="1"/>
    <n v="2"/>
    <n v="169763"/>
    <n v="125761"/>
    <n v="339526"/>
    <n v="251522"/>
    <n v="23274"/>
    <n v="15000"/>
    <n v="8000"/>
    <n v="297796"/>
    <n v="41730"/>
    <x v="1"/>
    <n v="2"/>
    <x v="1"/>
    <n v="12.29"/>
  </r>
  <r>
    <s v="TRX0238"/>
    <d v="2026-02-20T00:00:00"/>
    <x v="2"/>
    <x v="4"/>
    <x v="2"/>
    <x v="0"/>
    <n v="6"/>
    <n v="134252"/>
    <n v="107480"/>
    <n v="805512"/>
    <n v="644880"/>
    <n v="13818"/>
    <n v="5000"/>
    <n v="8000"/>
    <n v="671698"/>
    <n v="133814"/>
    <x v="1"/>
    <n v="2"/>
    <x v="1"/>
    <n v="16.61"/>
  </r>
  <r>
    <s v="TRX0048"/>
    <d v="2026-02-23T00:00:00"/>
    <x v="4"/>
    <x v="1"/>
    <x v="1"/>
    <x v="4"/>
    <n v="12"/>
    <n v="160752"/>
    <n v="125320"/>
    <n v="1929024"/>
    <n v="1503840"/>
    <n v="23471"/>
    <n v="15000"/>
    <n v="3000"/>
    <n v="1545311"/>
    <n v="383713"/>
    <x v="1"/>
    <n v="2"/>
    <x v="1"/>
    <n v="19.89"/>
  </r>
  <r>
    <s v="TRX0200"/>
    <d v="2026-02-25T00:00:00"/>
    <x v="2"/>
    <x v="4"/>
    <x v="2"/>
    <x v="5"/>
    <n v="2"/>
    <n v="135014"/>
    <n v="103412"/>
    <n v="270028"/>
    <n v="206824"/>
    <n v="9288"/>
    <n v="15000"/>
    <n v="8000"/>
    <n v="239112"/>
    <n v="30916"/>
    <x v="1"/>
    <n v="2"/>
    <x v="1"/>
    <n v="11.45"/>
  </r>
  <r>
    <s v="TRX0094"/>
    <d v="2026-02-26T00:00:00"/>
    <x v="4"/>
    <x v="0"/>
    <x v="0"/>
    <x v="2"/>
    <n v="5"/>
    <n v="23495"/>
    <n v="13917"/>
    <n v="117475"/>
    <n v="69585"/>
    <n v="37400"/>
    <n v="20000"/>
    <n v="2000"/>
    <n v="128985"/>
    <n v="-11510"/>
    <x v="1"/>
    <n v="2"/>
    <x v="1"/>
    <n v="-9.8000000000000007"/>
  </r>
  <r>
    <s v="TRX0096"/>
    <d v="2026-02-28T00:00:00"/>
    <x v="0"/>
    <x v="2"/>
    <x v="2"/>
    <x v="1"/>
    <n v="9"/>
    <n v="494532"/>
    <n v="402951"/>
    <n v="4450788"/>
    <n v="3626559"/>
    <n v="31866"/>
    <n v="15000"/>
    <n v="2000"/>
    <n v="3675425"/>
    <n v="775363"/>
    <x v="1"/>
    <n v="2"/>
    <x v="1"/>
    <n v="17.420000000000002"/>
  </r>
  <r>
    <s v="TRX0118"/>
    <d v="2026-03-02T00:00:00"/>
    <x v="0"/>
    <x v="5"/>
    <x v="1"/>
    <x v="0"/>
    <n v="3"/>
    <n v="241946"/>
    <n v="183122"/>
    <n v="725838"/>
    <n v="549366"/>
    <n v="21235"/>
    <n v="20000"/>
    <n v="10000"/>
    <n v="600601"/>
    <n v="125237"/>
    <x v="1"/>
    <n v="3"/>
    <x v="2"/>
    <n v="17.25"/>
  </r>
  <r>
    <s v="TRX0206"/>
    <d v="2026-03-03T00:00:00"/>
    <x v="1"/>
    <x v="3"/>
    <x v="0"/>
    <x v="1"/>
    <n v="8"/>
    <n v="37256"/>
    <n v="21210"/>
    <n v="298048"/>
    <n v="169680"/>
    <n v="26034"/>
    <n v="10000"/>
    <n v="8000"/>
    <n v="213714"/>
    <n v="84334"/>
    <x v="1"/>
    <n v="3"/>
    <x v="2"/>
    <n v="28.3"/>
  </r>
  <r>
    <s v="TRX0234"/>
    <d v="2026-03-04T00:00:00"/>
    <x v="1"/>
    <x v="5"/>
    <x v="1"/>
    <x v="3"/>
    <n v="14"/>
    <n v="238939"/>
    <n v="175786"/>
    <n v="3345146"/>
    <n v="2461004"/>
    <n v="29543"/>
    <n v="10000"/>
    <n v="2000"/>
    <n v="2502547"/>
    <n v="842599"/>
    <x v="1"/>
    <n v="3"/>
    <x v="2"/>
    <n v="25.19"/>
  </r>
  <r>
    <s v="TRX0223"/>
    <d v="2026-03-05T00:00:00"/>
    <x v="4"/>
    <x v="5"/>
    <x v="1"/>
    <x v="5"/>
    <n v="12"/>
    <n v="211530"/>
    <n v="175910"/>
    <n v="2538360"/>
    <n v="2110920"/>
    <n v="31295"/>
    <n v="15000"/>
    <n v="2000"/>
    <n v="2159215"/>
    <n v="379145"/>
    <x v="1"/>
    <n v="3"/>
    <x v="2"/>
    <n v="14.94"/>
  </r>
  <r>
    <s v="TRX0002"/>
    <d v="2026-03-09T00:00:00"/>
    <x v="1"/>
    <x v="2"/>
    <x v="2"/>
    <x v="5"/>
    <n v="2"/>
    <n v="504717"/>
    <n v="392180"/>
    <n v="1009434"/>
    <n v="784360"/>
    <n v="5869"/>
    <n v="20000"/>
    <n v="3000"/>
    <n v="813229"/>
    <n v="196205"/>
    <x v="1"/>
    <n v="3"/>
    <x v="2"/>
    <n v="19.440000000000001"/>
  </r>
  <r>
    <s v="TRX0166"/>
    <d v="2026-03-10T00:00:00"/>
    <x v="3"/>
    <x v="3"/>
    <x v="0"/>
    <x v="1"/>
    <n v="1"/>
    <n v="32249"/>
    <n v="20366"/>
    <n v="32249"/>
    <n v="20366"/>
    <n v="15022"/>
    <n v="10000"/>
    <n v="8000"/>
    <n v="53388"/>
    <n v="-21139"/>
    <x v="1"/>
    <n v="3"/>
    <x v="2"/>
    <n v="-65.55"/>
  </r>
  <r>
    <s v="TRX0063"/>
    <d v="2026-03-15T00:00:00"/>
    <x v="4"/>
    <x v="5"/>
    <x v="1"/>
    <x v="0"/>
    <n v="3"/>
    <n v="206834"/>
    <n v="173548"/>
    <n v="620502"/>
    <n v="520644"/>
    <n v="14919"/>
    <n v="15000"/>
    <n v="5000"/>
    <n v="555563"/>
    <n v="64939"/>
    <x v="1"/>
    <n v="3"/>
    <x v="2"/>
    <n v="10.47"/>
  </r>
  <r>
    <s v="TRX0070"/>
    <d v="2026-03-15T00:00:00"/>
    <x v="3"/>
    <x v="0"/>
    <x v="0"/>
    <x v="2"/>
    <n v="2"/>
    <n v="23502"/>
    <n v="13825"/>
    <n v="47004"/>
    <n v="27650"/>
    <n v="23455"/>
    <n v="15000"/>
    <n v="2000"/>
    <n v="68105"/>
    <n v="-21101"/>
    <x v="1"/>
    <n v="3"/>
    <x v="2"/>
    <n v="-44.89"/>
  </r>
  <r>
    <s v="TRX0023"/>
    <d v="2026-03-18T00:00:00"/>
    <x v="4"/>
    <x v="1"/>
    <x v="1"/>
    <x v="2"/>
    <n v="7"/>
    <n v="164682"/>
    <n v="133926"/>
    <n v="1152774"/>
    <n v="937482"/>
    <n v="33830"/>
    <n v="0"/>
    <n v="2000"/>
    <n v="973312"/>
    <n v="179462"/>
    <x v="1"/>
    <n v="3"/>
    <x v="2"/>
    <n v="15.57"/>
  </r>
  <r>
    <s v="TRX0045"/>
    <d v="2026-03-21T00:00:00"/>
    <x v="3"/>
    <x v="1"/>
    <x v="1"/>
    <x v="0"/>
    <n v="7"/>
    <n v="171563"/>
    <n v="130813"/>
    <n v="1200941"/>
    <n v="915691"/>
    <n v="22028"/>
    <n v="20000"/>
    <n v="3000"/>
    <n v="960719"/>
    <n v="240222"/>
    <x v="1"/>
    <n v="3"/>
    <x v="2"/>
    <n v="20"/>
  </r>
  <r>
    <s v="TRX0153"/>
    <d v="2026-03-23T00:00:00"/>
    <x v="4"/>
    <x v="3"/>
    <x v="0"/>
    <x v="0"/>
    <n v="9"/>
    <n v="30290"/>
    <n v="21961"/>
    <n v="272610"/>
    <n v="197649"/>
    <n v="36798"/>
    <n v="10000"/>
    <n v="3000"/>
    <n v="247447"/>
    <n v="25163"/>
    <x v="1"/>
    <n v="3"/>
    <x v="2"/>
    <n v="9.23"/>
  </r>
  <r>
    <s v="TRX0187"/>
    <d v="2026-03-24T00:00:00"/>
    <x v="4"/>
    <x v="4"/>
    <x v="2"/>
    <x v="0"/>
    <n v="15"/>
    <n v="146588"/>
    <n v="103666"/>
    <n v="2198820"/>
    <n v="1554990"/>
    <n v="13901"/>
    <n v="15000"/>
    <n v="8000"/>
    <n v="1591891"/>
    <n v="606929"/>
    <x v="1"/>
    <n v="3"/>
    <x v="2"/>
    <n v="27.6"/>
  </r>
  <r>
    <s v="TRX0192"/>
    <d v="2026-03-25T00:00:00"/>
    <x v="0"/>
    <x v="2"/>
    <x v="2"/>
    <x v="3"/>
    <n v="2"/>
    <n v="485741"/>
    <n v="398177"/>
    <n v="971482"/>
    <n v="796354"/>
    <n v="21082"/>
    <n v="15000"/>
    <n v="10000"/>
    <n v="842436"/>
    <n v="129046"/>
    <x v="1"/>
    <n v="3"/>
    <x v="2"/>
    <n v="13.28"/>
  </r>
  <r>
    <s v="TRX0169"/>
    <d v="2026-03-25T00:00:00"/>
    <x v="4"/>
    <x v="2"/>
    <x v="2"/>
    <x v="5"/>
    <n v="6"/>
    <n v="489616"/>
    <n v="380690"/>
    <n v="2937696"/>
    <n v="2284140"/>
    <n v="24444"/>
    <n v="20000"/>
    <n v="5000"/>
    <n v="2333584"/>
    <n v="604112"/>
    <x v="1"/>
    <n v="3"/>
    <x v="2"/>
    <n v="20.56"/>
  </r>
  <r>
    <s v="TRX0113"/>
    <d v="2026-03-29T00:00:00"/>
    <x v="2"/>
    <x v="1"/>
    <x v="1"/>
    <x v="1"/>
    <n v="5"/>
    <n v="174183"/>
    <n v="129568"/>
    <n v="870915"/>
    <n v="647840"/>
    <n v="16494"/>
    <n v="15000"/>
    <n v="5000"/>
    <n v="684334"/>
    <n v="186581"/>
    <x v="1"/>
    <n v="3"/>
    <x v="2"/>
    <n v="21.42"/>
  </r>
  <r>
    <s v="TRX0038"/>
    <d v="2026-03-29T00:00:00"/>
    <x v="4"/>
    <x v="3"/>
    <x v="0"/>
    <x v="3"/>
    <n v="9"/>
    <n v="29982"/>
    <n v="20124"/>
    <n v="269838"/>
    <n v="181116"/>
    <n v="34554"/>
    <n v="5000"/>
    <n v="10000"/>
    <n v="230670"/>
    <n v="39168"/>
    <x v="1"/>
    <n v="3"/>
    <x v="2"/>
    <n v="14.52"/>
  </r>
  <r>
    <s v="TRX0126"/>
    <d v="2026-03-31T00:00:00"/>
    <x v="0"/>
    <x v="4"/>
    <x v="2"/>
    <x v="3"/>
    <n v="14"/>
    <n v="142672"/>
    <n v="111080"/>
    <n v="1997408"/>
    <n v="1555120"/>
    <n v="21295"/>
    <n v="20000"/>
    <n v="5000"/>
    <n v="1601415"/>
    <n v="395993"/>
    <x v="1"/>
    <n v="3"/>
    <x v="2"/>
    <n v="19.829999999999998"/>
  </r>
  <r>
    <s v="TRX0134"/>
    <d v="2026-03-31T00:00:00"/>
    <x v="1"/>
    <x v="2"/>
    <x v="2"/>
    <x v="4"/>
    <n v="6"/>
    <n v="533084"/>
    <n v="373318"/>
    <n v="3198504"/>
    <n v="2239908"/>
    <n v="14011"/>
    <n v="20000"/>
    <n v="10000"/>
    <n v="2283919"/>
    <n v="914585"/>
    <x v="1"/>
    <n v="3"/>
    <x v="2"/>
    <n v="28.59"/>
  </r>
  <r>
    <s v="TRX0190"/>
    <d v="2026-03-31T00:00:00"/>
    <x v="4"/>
    <x v="1"/>
    <x v="1"/>
    <x v="5"/>
    <n v="1"/>
    <n v="170639"/>
    <n v="136536"/>
    <n v="170639"/>
    <n v="136536"/>
    <n v="31434"/>
    <n v="15000"/>
    <n v="5000"/>
    <n v="187970"/>
    <n v="-17331"/>
    <x v="1"/>
    <n v="3"/>
    <x v="2"/>
    <n v="-10.16"/>
  </r>
  <r>
    <s v="TRX0056"/>
    <d v="2026-04-02T00:00:00"/>
    <x v="4"/>
    <x v="5"/>
    <x v="1"/>
    <x v="2"/>
    <n v="8"/>
    <n v="213221"/>
    <n v="171009"/>
    <n v="1705768"/>
    <n v="1368072"/>
    <n v="32368"/>
    <n v="10000"/>
    <n v="10000"/>
    <n v="1420440"/>
    <n v="285328"/>
    <x v="1"/>
    <n v="4"/>
    <x v="3"/>
    <n v="16.73"/>
  </r>
  <r>
    <s v="TRX0170"/>
    <d v="2026-04-05T00:00:00"/>
    <x v="2"/>
    <x v="5"/>
    <x v="1"/>
    <x v="5"/>
    <n v="4"/>
    <n v="221838"/>
    <n v="181816"/>
    <n v="887352"/>
    <n v="727264"/>
    <n v="25460"/>
    <n v="5000"/>
    <n v="5000"/>
    <n v="762724"/>
    <n v="124628"/>
    <x v="1"/>
    <n v="4"/>
    <x v="3"/>
    <n v="14.04"/>
  </r>
  <r>
    <s v="TRX0215"/>
    <d v="2026-04-07T00:00:00"/>
    <x v="3"/>
    <x v="3"/>
    <x v="0"/>
    <x v="2"/>
    <n v="14"/>
    <n v="35104"/>
    <n v="21522"/>
    <n v="491456"/>
    <n v="301308"/>
    <n v="11116"/>
    <n v="5000"/>
    <n v="2000"/>
    <n v="319424"/>
    <n v="172032"/>
    <x v="1"/>
    <n v="4"/>
    <x v="3"/>
    <n v="35"/>
  </r>
  <r>
    <s v="TRX0133"/>
    <d v="2026-04-15T00:00:00"/>
    <x v="1"/>
    <x v="0"/>
    <x v="0"/>
    <x v="5"/>
    <n v="1"/>
    <n v="26995"/>
    <n v="14605"/>
    <n v="26995"/>
    <n v="14605"/>
    <n v="18968"/>
    <n v="0"/>
    <n v="8000"/>
    <n v="41573"/>
    <n v="-14578"/>
    <x v="1"/>
    <n v="4"/>
    <x v="3"/>
    <n v="-54"/>
  </r>
  <r>
    <s v="TRX0225"/>
    <d v="2026-04-16T00:00:00"/>
    <x v="3"/>
    <x v="3"/>
    <x v="0"/>
    <x v="2"/>
    <n v="9"/>
    <n v="32211"/>
    <n v="21733"/>
    <n v="289899"/>
    <n v="195597"/>
    <n v="35779"/>
    <n v="10000"/>
    <n v="10000"/>
    <n v="251376"/>
    <n v="38523"/>
    <x v="1"/>
    <n v="4"/>
    <x v="3"/>
    <n v="13.29"/>
  </r>
  <r>
    <s v="TRX0123"/>
    <d v="2026-04-21T00:00:00"/>
    <x v="3"/>
    <x v="0"/>
    <x v="0"/>
    <x v="3"/>
    <n v="11"/>
    <n v="23184"/>
    <n v="13515"/>
    <n v="255024"/>
    <n v="148665"/>
    <n v="7774"/>
    <n v="10000"/>
    <n v="8000"/>
    <n v="174439"/>
    <n v="80585"/>
    <x v="1"/>
    <n v="4"/>
    <x v="3"/>
    <n v="31.6"/>
  </r>
  <r>
    <s v="TRX0213"/>
    <d v="2026-04-27T00:00:00"/>
    <x v="2"/>
    <x v="1"/>
    <x v="1"/>
    <x v="0"/>
    <n v="1"/>
    <n v="179116"/>
    <n v="129662"/>
    <n v="179116"/>
    <n v="129662"/>
    <n v="17082"/>
    <n v="10000"/>
    <n v="8000"/>
    <n v="164744"/>
    <n v="14372"/>
    <x v="1"/>
    <n v="4"/>
    <x v="3"/>
    <n v="8.02"/>
  </r>
  <r>
    <s v="TRX0100"/>
    <d v="2026-04-29T00:00:00"/>
    <x v="4"/>
    <x v="5"/>
    <x v="1"/>
    <x v="3"/>
    <n v="9"/>
    <n v="209719"/>
    <n v="169919"/>
    <n v="1887471"/>
    <n v="1529271"/>
    <n v="30800"/>
    <n v="20000"/>
    <n v="3000"/>
    <n v="1583071"/>
    <n v="304400"/>
    <x v="1"/>
    <n v="4"/>
    <x v="3"/>
    <n v="16.13"/>
  </r>
  <r>
    <s v="TRX0176"/>
    <d v="2026-04-29T00:00:00"/>
    <x v="0"/>
    <x v="0"/>
    <x v="0"/>
    <x v="0"/>
    <n v="13"/>
    <n v="24931"/>
    <n v="13991"/>
    <n v="324103"/>
    <n v="181883"/>
    <n v="6465"/>
    <n v="0"/>
    <n v="2000"/>
    <n v="190348"/>
    <n v="133755"/>
    <x v="1"/>
    <n v="4"/>
    <x v="3"/>
    <n v="41.27"/>
  </r>
  <r>
    <s v="TRX0018"/>
    <d v="2026-05-02T00:00:00"/>
    <x v="0"/>
    <x v="3"/>
    <x v="0"/>
    <x v="5"/>
    <n v="5"/>
    <n v="34066"/>
    <n v="21351"/>
    <n v="170330"/>
    <n v="106755"/>
    <n v="14925"/>
    <n v="20000"/>
    <n v="3000"/>
    <n v="144680"/>
    <n v="25650"/>
    <x v="1"/>
    <n v="5"/>
    <x v="4"/>
    <n v="15.06"/>
  </r>
  <r>
    <s v="TRX0029"/>
    <d v="2026-05-04T00:00:00"/>
    <x v="2"/>
    <x v="3"/>
    <x v="0"/>
    <x v="3"/>
    <n v="3"/>
    <n v="31188"/>
    <n v="21123"/>
    <n v="93564"/>
    <n v="63369"/>
    <n v="13861"/>
    <n v="0"/>
    <n v="10000"/>
    <n v="87230"/>
    <n v="6334"/>
    <x v="1"/>
    <n v="5"/>
    <x v="4"/>
    <n v="6.77"/>
  </r>
  <r>
    <s v="TRX0060"/>
    <d v="2026-05-04T00:00:00"/>
    <x v="3"/>
    <x v="2"/>
    <x v="2"/>
    <x v="4"/>
    <n v="5"/>
    <n v="505597"/>
    <n v="407113"/>
    <n v="2527985"/>
    <n v="2035565"/>
    <n v="23412"/>
    <n v="20000"/>
    <n v="10000"/>
    <n v="2088977"/>
    <n v="439008"/>
    <x v="1"/>
    <n v="5"/>
    <x v="4"/>
    <n v="17.37"/>
  </r>
  <r>
    <s v="TRX0072"/>
    <d v="2026-05-11T00:00:00"/>
    <x v="4"/>
    <x v="4"/>
    <x v="2"/>
    <x v="2"/>
    <n v="14"/>
    <n v="142280"/>
    <n v="102850"/>
    <n v="1991920"/>
    <n v="1439900"/>
    <n v="16305"/>
    <n v="0"/>
    <n v="5000"/>
    <n v="1461205"/>
    <n v="530715"/>
    <x v="1"/>
    <n v="5"/>
    <x v="4"/>
    <n v="26.64"/>
  </r>
  <r>
    <s v="TRX0079"/>
    <d v="2026-05-11T00:00:00"/>
    <x v="2"/>
    <x v="1"/>
    <x v="1"/>
    <x v="1"/>
    <n v="13"/>
    <n v="171476"/>
    <n v="127547"/>
    <n v="2229188"/>
    <n v="1658111"/>
    <n v="10368"/>
    <n v="5000"/>
    <n v="5000"/>
    <n v="1678479"/>
    <n v="550709"/>
    <x v="1"/>
    <n v="5"/>
    <x v="4"/>
    <n v="24.7"/>
  </r>
  <r>
    <s v="TRX0108"/>
    <d v="2026-05-15T00:00:00"/>
    <x v="1"/>
    <x v="3"/>
    <x v="0"/>
    <x v="2"/>
    <n v="10"/>
    <n v="33235"/>
    <n v="21408"/>
    <n v="332350"/>
    <n v="214080"/>
    <n v="14416"/>
    <n v="5000"/>
    <n v="2000"/>
    <n v="235496"/>
    <n v="96854"/>
    <x v="1"/>
    <n v="5"/>
    <x v="4"/>
    <n v="29.14"/>
  </r>
  <r>
    <s v="TRX0227"/>
    <d v="2026-05-16T00:00:00"/>
    <x v="4"/>
    <x v="1"/>
    <x v="1"/>
    <x v="3"/>
    <n v="6"/>
    <n v="166825"/>
    <n v="136863"/>
    <n v="1000950"/>
    <n v="821178"/>
    <n v="35809"/>
    <n v="10000"/>
    <n v="5000"/>
    <n v="871987"/>
    <n v="128963"/>
    <x v="1"/>
    <n v="5"/>
    <x v="4"/>
    <n v="12.88"/>
  </r>
  <r>
    <s v="TRX0156"/>
    <d v="2026-05-21T00:00:00"/>
    <x v="2"/>
    <x v="4"/>
    <x v="2"/>
    <x v="5"/>
    <n v="13"/>
    <n v="143979"/>
    <n v="107617"/>
    <n v="1871727"/>
    <n v="1399021"/>
    <n v="29371"/>
    <n v="20000"/>
    <n v="5000"/>
    <n v="1453392"/>
    <n v="418335"/>
    <x v="1"/>
    <n v="5"/>
    <x v="4"/>
    <n v="22.35"/>
  </r>
  <r>
    <s v="TRX0202"/>
    <d v="2026-05-30T00:00:00"/>
    <x v="1"/>
    <x v="2"/>
    <x v="2"/>
    <x v="4"/>
    <n v="9"/>
    <n v="499940"/>
    <n v="377564"/>
    <n v="4499460"/>
    <n v="3398076"/>
    <n v="15572"/>
    <n v="5000"/>
    <n v="5000"/>
    <n v="3423648"/>
    <n v="1075812"/>
    <x v="1"/>
    <n v="5"/>
    <x v="4"/>
    <n v="23.91"/>
  </r>
  <r>
    <s v="TRX0219"/>
    <d v="2026-06-04T00:00:00"/>
    <x v="2"/>
    <x v="3"/>
    <x v="0"/>
    <x v="5"/>
    <n v="8"/>
    <n v="34190"/>
    <n v="20643"/>
    <n v="273520"/>
    <n v="165144"/>
    <n v="6931"/>
    <n v="10000"/>
    <n v="5000"/>
    <n v="187075"/>
    <n v="86445"/>
    <x v="1"/>
    <n v="6"/>
    <x v="5"/>
    <n v="31.6"/>
  </r>
  <r>
    <s v="TRX0181"/>
    <d v="2026-06-04T00:00:00"/>
    <x v="2"/>
    <x v="3"/>
    <x v="0"/>
    <x v="0"/>
    <n v="1"/>
    <n v="32724"/>
    <n v="21036"/>
    <n v="32724"/>
    <n v="21036"/>
    <n v="32286"/>
    <n v="15000"/>
    <n v="5000"/>
    <n v="73322"/>
    <n v="-40598"/>
    <x v="1"/>
    <n v="6"/>
    <x v="5"/>
    <n v="-124.06"/>
  </r>
  <r>
    <s v="TRX0015"/>
    <d v="2026-06-04T00:00:00"/>
    <x v="3"/>
    <x v="2"/>
    <x v="2"/>
    <x v="4"/>
    <n v="14"/>
    <n v="497843"/>
    <n v="396625"/>
    <n v="6969802"/>
    <n v="5552750"/>
    <n v="12510"/>
    <n v="10000"/>
    <n v="3000"/>
    <n v="5578260"/>
    <n v="1391542"/>
    <x v="1"/>
    <n v="6"/>
    <x v="5"/>
    <n v="19.97"/>
  </r>
  <r>
    <s v="TRX0158"/>
    <d v="2026-06-04T00:00:00"/>
    <x v="3"/>
    <x v="2"/>
    <x v="2"/>
    <x v="4"/>
    <n v="8"/>
    <n v="485180"/>
    <n v="372941"/>
    <n v="3881440"/>
    <n v="2983528"/>
    <n v="18008"/>
    <n v="0"/>
    <n v="2000"/>
    <n v="3003536"/>
    <n v="877904"/>
    <x v="1"/>
    <n v="6"/>
    <x v="5"/>
    <n v="22.62"/>
  </r>
  <r>
    <s v="TRX0159"/>
    <d v="2026-06-04T00:00:00"/>
    <x v="4"/>
    <x v="4"/>
    <x v="2"/>
    <x v="5"/>
    <n v="10"/>
    <n v="138903"/>
    <n v="108895"/>
    <n v="1389030"/>
    <n v="1088950"/>
    <n v="7930"/>
    <n v="15000"/>
    <n v="10000"/>
    <n v="1121880"/>
    <n v="267150"/>
    <x v="1"/>
    <n v="6"/>
    <x v="5"/>
    <n v="19.23"/>
  </r>
  <r>
    <s v="TRX0012"/>
    <d v="2026-06-06T00:00:00"/>
    <x v="1"/>
    <x v="4"/>
    <x v="2"/>
    <x v="4"/>
    <n v="13"/>
    <n v="141989"/>
    <n v="101016"/>
    <n v="1845857"/>
    <n v="1313208"/>
    <n v="25560"/>
    <n v="5000"/>
    <n v="8000"/>
    <n v="1351768"/>
    <n v="494089"/>
    <x v="1"/>
    <n v="6"/>
    <x v="5"/>
    <n v="26.77"/>
  </r>
  <r>
    <s v="TRX0209"/>
    <d v="2026-06-12T00:00:00"/>
    <x v="1"/>
    <x v="3"/>
    <x v="0"/>
    <x v="3"/>
    <n v="6"/>
    <n v="34085"/>
    <n v="20233"/>
    <n v="204510"/>
    <n v="121398"/>
    <n v="19732"/>
    <n v="5000"/>
    <n v="3000"/>
    <n v="149130"/>
    <n v="55380"/>
    <x v="1"/>
    <n v="6"/>
    <x v="5"/>
    <n v="27.08"/>
  </r>
  <r>
    <s v="TRX0051"/>
    <d v="2026-06-12T00:00:00"/>
    <x v="2"/>
    <x v="0"/>
    <x v="0"/>
    <x v="1"/>
    <n v="6"/>
    <n v="22397"/>
    <n v="14766"/>
    <n v="134382"/>
    <n v="88596"/>
    <n v="15870"/>
    <n v="10000"/>
    <n v="3000"/>
    <n v="117466"/>
    <n v="16916"/>
    <x v="1"/>
    <n v="6"/>
    <x v="5"/>
    <n v="12.59"/>
  </r>
  <r>
    <s v="TRX0201"/>
    <d v="2026-06-14T00:00:00"/>
    <x v="0"/>
    <x v="1"/>
    <x v="1"/>
    <x v="2"/>
    <n v="15"/>
    <n v="182488"/>
    <n v="131384"/>
    <n v="2737320"/>
    <n v="1970760"/>
    <n v="30325"/>
    <n v="5000"/>
    <n v="3000"/>
    <n v="2009085"/>
    <n v="728235"/>
    <x v="1"/>
    <n v="6"/>
    <x v="5"/>
    <n v="26.6"/>
  </r>
  <r>
    <s v="TRX0188"/>
    <d v="2026-06-16T00:00:00"/>
    <x v="1"/>
    <x v="1"/>
    <x v="1"/>
    <x v="0"/>
    <n v="12"/>
    <n v="179897"/>
    <n v="129658"/>
    <n v="2158764"/>
    <n v="1555896"/>
    <n v="10913"/>
    <n v="20000"/>
    <n v="5000"/>
    <n v="1591809"/>
    <n v="566955"/>
    <x v="1"/>
    <n v="6"/>
    <x v="5"/>
    <n v="26.26"/>
  </r>
  <r>
    <s v="TRX0055"/>
    <d v="2026-06-28T00:00:00"/>
    <x v="2"/>
    <x v="3"/>
    <x v="0"/>
    <x v="4"/>
    <n v="6"/>
    <n v="35302"/>
    <n v="22009"/>
    <n v="211812"/>
    <n v="132054"/>
    <n v="31344"/>
    <n v="20000"/>
    <n v="8000"/>
    <n v="191398"/>
    <n v="20414"/>
    <x v="1"/>
    <n v="6"/>
    <x v="5"/>
    <n v="9.64"/>
  </r>
  <r>
    <s v="TRX0016"/>
    <d v="2026-06-28T00:00:00"/>
    <x v="2"/>
    <x v="2"/>
    <x v="2"/>
    <x v="3"/>
    <n v="6"/>
    <n v="492908"/>
    <n v="375299"/>
    <n v="2957448"/>
    <n v="2251794"/>
    <n v="21118"/>
    <n v="10000"/>
    <n v="3000"/>
    <n v="2285912"/>
    <n v="671536"/>
    <x v="1"/>
    <n v="6"/>
    <x v="5"/>
    <n v="22.71"/>
  </r>
  <r>
    <s v="TRX0044"/>
    <d v="2026-07-04T00:00:00"/>
    <x v="1"/>
    <x v="1"/>
    <x v="1"/>
    <x v="3"/>
    <n v="2"/>
    <n v="191301"/>
    <n v="127235"/>
    <n v="382602"/>
    <n v="254470"/>
    <n v="24024"/>
    <n v="10000"/>
    <n v="2000"/>
    <n v="290494"/>
    <n v="92108"/>
    <x v="1"/>
    <n v="7"/>
    <x v="6"/>
    <n v="24.07"/>
  </r>
  <r>
    <s v="TRX0014"/>
    <d v="2026-07-04T00:00:00"/>
    <x v="3"/>
    <x v="1"/>
    <x v="1"/>
    <x v="1"/>
    <n v="2"/>
    <n v="164234"/>
    <n v="125762"/>
    <n v="328468"/>
    <n v="251524"/>
    <n v="6382"/>
    <n v="10000"/>
    <n v="10000"/>
    <n v="277906"/>
    <n v="50562"/>
    <x v="1"/>
    <n v="7"/>
    <x v="6"/>
    <n v="15.39"/>
  </r>
  <r>
    <s v="TRX0230"/>
    <d v="2026-07-06T00:00:00"/>
    <x v="2"/>
    <x v="1"/>
    <x v="1"/>
    <x v="1"/>
    <n v="12"/>
    <n v="165482"/>
    <n v="125062"/>
    <n v="1985784"/>
    <n v="1500744"/>
    <n v="36596"/>
    <n v="20000"/>
    <n v="3000"/>
    <n v="1560340"/>
    <n v="425444"/>
    <x v="1"/>
    <n v="7"/>
    <x v="6"/>
    <n v="21.42"/>
  </r>
  <r>
    <s v="TRX0059"/>
    <d v="2026-07-10T00:00:00"/>
    <x v="4"/>
    <x v="4"/>
    <x v="2"/>
    <x v="2"/>
    <n v="1"/>
    <n v="132263"/>
    <n v="104603"/>
    <n v="132263"/>
    <n v="104603"/>
    <n v="30174"/>
    <n v="0"/>
    <n v="10000"/>
    <n v="144777"/>
    <n v="-12514"/>
    <x v="1"/>
    <n v="7"/>
    <x v="6"/>
    <n v="-9.4600000000000009"/>
  </r>
  <r>
    <s v="TRX0003"/>
    <d v="2026-07-13T00:00:00"/>
    <x v="0"/>
    <x v="4"/>
    <x v="2"/>
    <x v="0"/>
    <n v="8"/>
    <n v="147240"/>
    <n v="109099"/>
    <n v="1177920"/>
    <n v="872792"/>
    <n v="6515"/>
    <n v="5000"/>
    <n v="8000"/>
    <n v="892307"/>
    <n v="285613"/>
    <x v="1"/>
    <n v="7"/>
    <x v="6"/>
    <n v="24.25"/>
  </r>
  <r>
    <s v="TRX0136"/>
    <d v="2026-07-19T00:00:00"/>
    <x v="0"/>
    <x v="0"/>
    <x v="0"/>
    <x v="2"/>
    <n v="7"/>
    <n v="24077"/>
    <n v="13652"/>
    <n v="168539"/>
    <n v="95564"/>
    <n v="20132"/>
    <n v="15000"/>
    <n v="8000"/>
    <n v="138696"/>
    <n v="29843"/>
    <x v="1"/>
    <n v="7"/>
    <x v="6"/>
    <n v="17.71"/>
  </r>
  <r>
    <s v="TRX0077"/>
    <d v="2026-07-21T00:00:00"/>
    <x v="3"/>
    <x v="3"/>
    <x v="0"/>
    <x v="0"/>
    <n v="7"/>
    <n v="35139"/>
    <n v="21221"/>
    <n v="245973"/>
    <n v="148547"/>
    <n v="20660"/>
    <n v="15000"/>
    <n v="5000"/>
    <n v="189207"/>
    <n v="56766"/>
    <x v="1"/>
    <n v="7"/>
    <x v="6"/>
    <n v="23.08"/>
  </r>
  <r>
    <s v="TRX0035"/>
    <d v="2026-07-22T00:00:00"/>
    <x v="1"/>
    <x v="1"/>
    <x v="1"/>
    <x v="0"/>
    <n v="15"/>
    <n v="172584"/>
    <n v="125151"/>
    <n v="2588760"/>
    <n v="1877265"/>
    <n v="8507"/>
    <n v="20000"/>
    <n v="3000"/>
    <n v="1908772"/>
    <n v="679988"/>
    <x v="1"/>
    <n v="7"/>
    <x v="6"/>
    <n v="26.27"/>
  </r>
  <r>
    <s v="TRX0141"/>
    <d v="2026-07-24T00:00:00"/>
    <x v="1"/>
    <x v="1"/>
    <x v="1"/>
    <x v="4"/>
    <n v="13"/>
    <n v="176220"/>
    <n v="126734"/>
    <n v="2290860"/>
    <n v="1647542"/>
    <n v="19061"/>
    <n v="20000"/>
    <n v="10000"/>
    <n v="1696603"/>
    <n v="594257"/>
    <x v="1"/>
    <n v="7"/>
    <x v="6"/>
    <n v="25.94"/>
  </r>
  <r>
    <s v="TRX0142"/>
    <d v="2026-07-25T00:00:00"/>
    <x v="2"/>
    <x v="2"/>
    <x v="2"/>
    <x v="5"/>
    <n v="15"/>
    <n v="504489"/>
    <n v="400250"/>
    <n v="7567335"/>
    <n v="6003750"/>
    <n v="7435"/>
    <n v="5000"/>
    <n v="5000"/>
    <n v="6021185"/>
    <n v="1546150"/>
    <x v="1"/>
    <n v="7"/>
    <x v="6"/>
    <n v="20.43"/>
  </r>
  <r>
    <s v="TRX0150"/>
    <d v="2026-07-27T00:00:00"/>
    <x v="3"/>
    <x v="0"/>
    <x v="0"/>
    <x v="3"/>
    <n v="2"/>
    <n v="23147"/>
    <n v="14443"/>
    <n v="46294"/>
    <n v="28886"/>
    <n v="24118"/>
    <n v="0"/>
    <n v="8000"/>
    <n v="61004"/>
    <n v="-14710"/>
    <x v="1"/>
    <n v="7"/>
    <x v="6"/>
    <n v="-31.78"/>
  </r>
  <r>
    <s v="TRX0011"/>
    <d v="2026-07-29T00:00:00"/>
    <x v="3"/>
    <x v="3"/>
    <x v="0"/>
    <x v="1"/>
    <n v="12"/>
    <n v="33261"/>
    <n v="22024"/>
    <n v="399132"/>
    <n v="264288"/>
    <n v="22609"/>
    <n v="10000"/>
    <n v="3000"/>
    <n v="299897"/>
    <n v="99235"/>
    <x v="1"/>
    <n v="7"/>
    <x v="6"/>
    <n v="24.86"/>
  </r>
  <r>
    <s v="TRX0195"/>
    <d v="2026-07-30T00:00:00"/>
    <x v="3"/>
    <x v="2"/>
    <x v="2"/>
    <x v="1"/>
    <n v="13"/>
    <n v="472207"/>
    <n v="389645"/>
    <n v="6138691"/>
    <n v="5065385"/>
    <n v="31311"/>
    <n v="10000"/>
    <n v="8000"/>
    <n v="5114696"/>
    <n v="1023995"/>
    <x v="1"/>
    <n v="7"/>
    <x v="6"/>
    <n v="16.68"/>
  </r>
  <r>
    <s v="TRX0139"/>
    <d v="2026-07-30T00:00:00"/>
    <x v="3"/>
    <x v="3"/>
    <x v="0"/>
    <x v="0"/>
    <n v="11"/>
    <n v="31154"/>
    <n v="20767"/>
    <n v="342694"/>
    <n v="228437"/>
    <n v="33501"/>
    <n v="15000"/>
    <n v="2000"/>
    <n v="278938"/>
    <n v="63756"/>
    <x v="1"/>
    <n v="7"/>
    <x v="6"/>
    <n v="18.600000000000001"/>
  </r>
  <r>
    <s v="TRX0033"/>
    <d v="2026-07-31T00:00:00"/>
    <x v="1"/>
    <x v="2"/>
    <x v="2"/>
    <x v="0"/>
    <n v="9"/>
    <n v="504318"/>
    <n v="381877"/>
    <n v="4538862"/>
    <n v="3436893"/>
    <n v="16436"/>
    <n v="0"/>
    <n v="3000"/>
    <n v="3456329"/>
    <n v="1082533"/>
    <x v="1"/>
    <n v="7"/>
    <x v="6"/>
    <n v="23.85"/>
  </r>
  <r>
    <s v="TRX0205"/>
    <d v="2026-08-01T00:00:00"/>
    <x v="1"/>
    <x v="2"/>
    <x v="2"/>
    <x v="4"/>
    <n v="2"/>
    <n v="492110"/>
    <n v="398018"/>
    <n v="984220"/>
    <n v="796036"/>
    <n v="23899"/>
    <n v="10000"/>
    <n v="3000"/>
    <n v="832935"/>
    <n v="151285"/>
    <x v="1"/>
    <n v="8"/>
    <x v="7"/>
    <n v="15.37"/>
  </r>
  <r>
    <s v="TRX0049"/>
    <d v="2026-08-06T00:00:00"/>
    <x v="4"/>
    <x v="1"/>
    <x v="1"/>
    <x v="4"/>
    <n v="9"/>
    <n v="173091"/>
    <n v="127845"/>
    <n v="1557819"/>
    <n v="1150605"/>
    <n v="14859"/>
    <n v="15000"/>
    <n v="10000"/>
    <n v="1190464"/>
    <n v="367355"/>
    <x v="1"/>
    <n v="8"/>
    <x v="7"/>
    <n v="23.58"/>
  </r>
  <r>
    <s v="TRX0022"/>
    <d v="2026-08-08T00:00:00"/>
    <x v="4"/>
    <x v="3"/>
    <x v="0"/>
    <x v="5"/>
    <n v="4"/>
    <n v="33438"/>
    <n v="21815"/>
    <n v="133752"/>
    <n v="87260"/>
    <n v="14049"/>
    <n v="0"/>
    <n v="2000"/>
    <n v="103309"/>
    <n v="30443"/>
    <x v="1"/>
    <n v="8"/>
    <x v="7"/>
    <n v="22.76"/>
  </r>
  <r>
    <s v="TRX0171"/>
    <d v="2026-08-08T00:00:00"/>
    <x v="4"/>
    <x v="4"/>
    <x v="2"/>
    <x v="1"/>
    <n v="13"/>
    <n v="133695"/>
    <n v="104161"/>
    <n v="1738035"/>
    <n v="1354093"/>
    <n v="27854"/>
    <n v="15000"/>
    <n v="3000"/>
    <n v="1399947"/>
    <n v="338088"/>
    <x v="1"/>
    <n v="8"/>
    <x v="7"/>
    <n v="19.45"/>
  </r>
  <r>
    <s v="TRX0240"/>
    <d v="2026-08-10T00:00:00"/>
    <x v="3"/>
    <x v="2"/>
    <x v="2"/>
    <x v="0"/>
    <n v="11"/>
    <n v="478927"/>
    <n v="380637"/>
    <n v="5268197"/>
    <n v="4187007"/>
    <n v="33602"/>
    <n v="0"/>
    <n v="8000"/>
    <n v="4228609"/>
    <n v="1039588"/>
    <x v="1"/>
    <n v="8"/>
    <x v="7"/>
    <n v="19.73"/>
  </r>
  <r>
    <s v="TRX0228"/>
    <d v="2026-08-11T00:00:00"/>
    <x v="2"/>
    <x v="0"/>
    <x v="0"/>
    <x v="3"/>
    <n v="7"/>
    <n v="25037"/>
    <n v="13908"/>
    <n v="175259"/>
    <n v="97356"/>
    <n v="20386"/>
    <n v="5000"/>
    <n v="5000"/>
    <n v="127742"/>
    <n v="47517"/>
    <x v="1"/>
    <n v="8"/>
    <x v="7"/>
    <n v="27.11"/>
  </r>
  <r>
    <s v="TRX0053"/>
    <d v="2026-08-13T00:00:00"/>
    <x v="4"/>
    <x v="5"/>
    <x v="1"/>
    <x v="2"/>
    <n v="8"/>
    <n v="217516"/>
    <n v="169091"/>
    <n v="1740128"/>
    <n v="1352728"/>
    <n v="34415"/>
    <n v="0"/>
    <n v="2000"/>
    <n v="1389143"/>
    <n v="350985"/>
    <x v="1"/>
    <n v="8"/>
    <x v="7"/>
    <n v="20.170000000000002"/>
  </r>
  <r>
    <s v="TRX0102"/>
    <d v="2026-08-17T00:00:00"/>
    <x v="4"/>
    <x v="0"/>
    <x v="0"/>
    <x v="4"/>
    <n v="14"/>
    <n v="21858"/>
    <n v="14129"/>
    <n v="306012"/>
    <n v="197806"/>
    <n v="20386"/>
    <n v="10000"/>
    <n v="10000"/>
    <n v="238192"/>
    <n v="67820"/>
    <x v="1"/>
    <n v="8"/>
    <x v="7"/>
    <n v="22.16"/>
  </r>
  <r>
    <s v="TRX0031"/>
    <d v="2026-08-21T00:00:00"/>
    <x v="2"/>
    <x v="3"/>
    <x v="0"/>
    <x v="0"/>
    <n v="6"/>
    <n v="35231"/>
    <n v="20422"/>
    <n v="211386"/>
    <n v="122532"/>
    <n v="35585"/>
    <n v="10000"/>
    <n v="3000"/>
    <n v="171117"/>
    <n v="40269"/>
    <x v="1"/>
    <n v="8"/>
    <x v="7"/>
    <n v="19.05"/>
  </r>
  <r>
    <s v="TRX0093"/>
    <d v="2026-08-23T00:00:00"/>
    <x v="4"/>
    <x v="4"/>
    <x v="2"/>
    <x v="0"/>
    <n v="2"/>
    <n v="137292"/>
    <n v="104466"/>
    <n v="274584"/>
    <n v="208932"/>
    <n v="19400"/>
    <n v="0"/>
    <n v="3000"/>
    <n v="231332"/>
    <n v="43252"/>
    <x v="1"/>
    <n v="8"/>
    <x v="7"/>
    <n v="15.7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5594FC-51D6-4BA9-A367-7F990DA65B73}" name="Tableau croisé dynamique7" cacheId="32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>
  <location ref="A7:A8" firstHeaderRow="1" firstDataRow="1" firstDataCol="0"/>
  <pivotFields count="24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Chiffre_Affaires total" fld="9" baseField="0" baseItem="62" numFmtId="170"/>
  </dataFields>
  <formats count="3">
    <format dxfId="26">
      <pivotArea outline="0" collapsedLevelsAreSubtotals="1" fieldPosition="0"/>
    </format>
    <format dxfId="27">
      <pivotArea outline="0" collapsedLevelsAreSubtotals="1" fieldPosition="0"/>
    </format>
    <format dxfId="2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3A7E1A-630E-4967-B6C2-CB5E57BE1FCD}" name="Tableau croisé dynamique6" cacheId="32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>
  <location ref="C3:C4" firstHeaderRow="1" firstDataRow="1" firstDataCol="0"/>
  <pivotFields count="24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Chiffre_Affaires total" fld="9" baseField="0" baseItem="62" numFmtId="170"/>
  </dataFields>
  <formats count="3">
    <format dxfId="37">
      <pivotArea outline="0" collapsedLevelsAreSubtotals="1" fieldPosition="0"/>
    </format>
    <format dxfId="34">
      <pivotArea outline="0" collapsedLevelsAreSubtotals="1" fieldPosition="0"/>
    </format>
    <format dxfId="3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67DB94-E8A1-432E-A6A6-F1918278FA6C}" name="Tableau croisé dynamique3" cacheId="32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>
  <location ref="B3:B4" firstHeaderRow="1" firstDataRow="1" firstDataCol="0"/>
  <pivotFields count="24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 Bénéfice total" fld="15" baseField="0" baseItem="21" numFmtId="170"/>
  </dataFields>
  <formats count="3">
    <format dxfId="36">
      <pivotArea outline="0" collapsedLevelsAreSubtotals="1" fieldPosition="0"/>
    </format>
    <format dxfId="33">
      <pivotArea outline="0" collapsedLevelsAreSubtotals="1" fieldPosition="0"/>
    </format>
    <format dxfId="3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B11BCB-AC8F-496A-9D71-B5BBBA527254}" name="Tableau croisé dynamique2" cacheId="32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>
  <location ref="A3:A4" firstHeaderRow="1" firstDataRow="1" firstDataCol="0"/>
  <pivotFields count="24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Somme de Dépenses_Totales" fld="14" baseField="0" baseItem="0" numFmtId="170"/>
  </dataFields>
  <formats count="3">
    <format dxfId="35">
      <pivotArea outline="0" collapsedLevelsAreSubtotals="1" fieldPosition="0"/>
    </format>
    <format dxfId="32">
      <pivotArea outline="0" collapsedLevelsAreSubtotals="1" fieldPosition="0"/>
    </format>
    <format dxfId="2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952B94-89D2-4240-A9D9-EF2B18939E46}" name="Tableau croisé dynamique14" cacheId="32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5" rowHeaderCaption="Région">
  <location ref="G3:H9" firstHeaderRow="1" firstDataRow="1" firstDataCol="1"/>
  <pivotFields count="24">
    <pivotField showAll="0"/>
    <pivotField numFmtId="14" showAll="0"/>
    <pivotField axis="axisRow" showAll="0" defaultSubtotal="0">
      <items count="5">
        <item x="1"/>
        <item x="4"/>
        <item x="3"/>
        <item x="0"/>
        <item x="2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hiffre_Affaires_Total" fld="9" baseField="2" baseItem="0" numFmtId="170"/>
  </dataFields>
  <formats count="1">
    <format dxfId="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860169-A5F8-4652-B9FF-3B3B03488B60}" name="Tableau croisé dynamique8" cacheId="32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1" rowHeaderCaption="Région">
  <location ref="A3:E9" firstHeaderRow="0" firstDataRow="1" firstDataCol="1"/>
  <pivotFields count="24">
    <pivotField showAll="0"/>
    <pivotField numFmtId="14" showAll="0"/>
    <pivotField axis="axisRow" showAll="0" defaultSubtotal="0">
      <items count="5">
        <item x="1"/>
        <item x="4"/>
        <item x="3"/>
        <item x="0"/>
        <item x="2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omme de Dépenses_Totales" fld="14" baseField="0" baseItem="0"/>
    <dataField name="Chiffre_Affaires_Total" fld="9" baseField="2" baseItem="0" numFmtId="170"/>
    <dataField name="Somme de Bénéfice" fld="15" baseField="0" baseItem="0"/>
    <dataField name="Somme de Marge_Régionale" fld="20" baseField="0" baseItem="0"/>
  </dataFields>
  <formats count="4">
    <format dxfId="2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4">
      <pivotArea outline="0" fieldPosition="0">
        <references count="1">
          <reference field="4294967294" count="1">
            <x v="3"/>
          </reference>
        </references>
      </pivotArea>
    </format>
    <format dxfId="23">
      <pivotArea collapsedLevelsAreSubtotals="1" fieldPosition="0">
        <references count="2">
          <reference field="4294967294" count="1" selected="0">
            <x v="3"/>
          </reference>
          <reference field="2" count="0"/>
        </references>
      </pivotArea>
    </format>
    <format dxfId="22">
      <pivotArea field="2" grandRow="1" outline="0" collapsedLevelsAreSubtotals="1" axis="axisRow" fieldPosition="0">
        <references count="1">
          <reference field="4294967294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142397-8625-40C3-AF2C-BB2DC2724EA7}" name="Tableau croisé dynamique15" cacheId="32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4" rowHeaderCaption="Produit">
  <location ref="G3:H10" firstHeaderRow="1" firstDataRow="1" firstDataCol="1"/>
  <pivotFields count="24">
    <pivotField showAll="0"/>
    <pivotField numFmtId="14" showAll="0"/>
    <pivotField showAll="0"/>
    <pivotField axis="axisRow" showAll="0">
      <items count="7">
        <item x="3"/>
        <item x="4"/>
        <item x="2"/>
        <item x="0"/>
        <item x="5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omme de Bénéfice" fld="15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0E7CDB-F430-41A9-8279-62AC6D7B6682}" name="Tableau croisé dynamique9" cacheId="32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rowHeaderCaption="Produit">
  <location ref="A3:E10" firstHeaderRow="0" firstDataRow="1" firstDataCol="1"/>
  <pivotFields count="24">
    <pivotField showAll="0"/>
    <pivotField numFmtId="14" showAll="0"/>
    <pivotField showAll="0"/>
    <pivotField axis="axisRow" showAll="0">
      <items count="7">
        <item x="3"/>
        <item x="4"/>
        <item x="2"/>
        <item x="0"/>
        <item x="5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hiffre_Affaires_Total" fld="9" baseField="3" baseItem="0"/>
    <dataField name="Somme de Dépenses_Totales" fld="14" baseField="0" baseItem="0"/>
    <dataField name="Somme de Bénéfice" fld="15" baseField="0" baseItem="0"/>
    <dataField name="Somme de Marge par produit" fld="21" baseField="0" baseItem="0"/>
  </dataFields>
  <formats count="2">
    <format dxfId="8">
      <pivotArea collapsedLevelsAreSubtotals="1" fieldPosition="0">
        <references count="2">
          <reference field="4294967294" count="1" selected="0">
            <x v="3"/>
          </reference>
          <reference field="3" count="0"/>
        </references>
      </pivotArea>
    </format>
    <format dxfId="7">
      <pivotArea field="3" grandRow="1" outline="0" collapsedLevelsAreSubtotals="1" axis="axisRow" fieldPosition="0">
        <references count="1">
          <reference field="4294967294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D69447-94F7-4F46-B4F9-E3303666515C}" name="Tableau croisé dynamique11" cacheId="32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rowHeaderCaption="Mois">
  <location ref="A10:D23" firstHeaderRow="0" firstDataRow="1" firstDataCol="1"/>
  <pivotFields count="24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axis="axisRow" showAll="0">
      <items count="25">
        <item m="1" x="21"/>
        <item m="1" x="15"/>
        <item m="1" x="20"/>
        <item m="1" x="14"/>
        <item m="1" x="19"/>
        <item m="1" x="23"/>
        <item m="1" x="12"/>
        <item m="1" x="13"/>
        <item m="1" x="22"/>
        <item m="1" x="18"/>
        <item m="1" x="16"/>
        <item m="1" x="1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8"/>
  </rowFields>
  <rowItems count="13"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me de Chiffre_Affaires" fld="9" baseField="0" baseItem="0" numFmtId="170"/>
    <dataField name="Somme de Dépenses_Totales" fld="14" baseField="0" baseItem="0" numFmtId="170"/>
    <dataField name="Somme de Bénéfice" fld="15" baseField="0" baseItem="0" numFmtId="170"/>
  </dataFields>
  <formats count="3">
    <format dxfId="1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3A28D4-AD3C-4773-9C5A-764B1D292460}" name="Tableau croisé dynamique10" cacheId="32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rowHeaderCaption="Année">
  <location ref="A3:D6" firstHeaderRow="0" firstDataRow="1" firstDataCol="1"/>
  <pivotFields count="24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6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me de Chiffre_Affaires" fld="9" baseField="0" baseItem="0" numFmtId="170"/>
    <dataField name="Somme de Dépenses_Totales" fld="14" baseField="0" baseItem="0" numFmtId="170"/>
    <dataField name="Somme de Bénéfice" fld="15" baseField="0" baseItem="0" numFmtId="170"/>
  </dataFields>
  <formats count="3">
    <format dxfId="2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11197E-DC50-490E-9EF4-30373A71DB07}" name="Tableau croisé dynamique12" cacheId="32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rowHeaderCaption="Commercial">
  <location ref="A3:E10" firstHeaderRow="0" firstDataRow="1" firstDataCol="1"/>
  <pivotFields count="24">
    <pivotField showAll="0"/>
    <pivotField numFmtId="14" showAll="0"/>
    <pivotField showAll="0"/>
    <pivotField showAll="0"/>
    <pivotField showAll="0"/>
    <pivotField axis="axisRow" showAll="0">
      <items count="7">
        <item x="3"/>
        <item x="2"/>
        <item x="0"/>
        <item x="4"/>
        <item x="5"/>
        <item x="1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 Chiffre_Affaires Total" fld="9" baseField="5" baseItem="0"/>
    <dataField name="Somme de Dépenses_Totales" fld="14" baseField="0" baseItem="0"/>
    <dataField name="Somme de Bénéfice" fld="15" baseField="0" baseItem="0"/>
    <dataField name=" Marge commercial" fld="22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F5D660-0FE0-47B5-AB9C-A4D4DF8451F1}" name="Tableau croisé dynamique13" cacheId="32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>
  <location ref="A3:E7" firstHeaderRow="0" firstDataRow="1" firstDataCol="1"/>
  <pivotFields count="24">
    <pivotField showAll="0"/>
    <pivotField numFmtId="14"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hiffre_Affaires Total" fld="9" baseField="4" baseItem="0"/>
    <dataField name="Somme de Dépenses_Totales" fld="14" baseField="0" baseItem="0"/>
    <dataField name="Somme de Bénéfice" fld="15" baseField="0" baseItem="0"/>
    <dataField name="marge par catégorie" fld="23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FDC38DD8-D9B8-41FC-B7DC-35CD1DF945E3}" autoFormatId="16" applyNumberFormats="0" applyBorderFormats="0" applyFontFormats="0" applyPatternFormats="0" applyAlignmentFormats="0" applyWidthHeightFormats="0">
  <queryTableRefresh nextId="21">
    <queryTableFields count="20">
      <queryTableField id="1" name="ID_Transaction" tableColumnId="21"/>
      <queryTableField id="2" name="Date" tableColumnId="2"/>
      <queryTableField id="3" name="Ville" tableColumnId="3"/>
      <queryTableField id="4" name="Produit" tableColumnId="4"/>
      <queryTableField id="5" name="Catégorie" tableColumnId="5"/>
      <queryTableField id="6" name="Commercial" tableColumnId="6"/>
      <queryTableField id="7" name="Quantité" tableColumnId="7"/>
      <queryTableField id="8" name="Prix_Unitaire" tableColumnId="8"/>
      <queryTableField id="9" name="Coût_Unitaire" tableColumnId="9"/>
      <queryTableField id="10" name="Chiffre_Affaires" tableColumnId="10"/>
      <queryTableField id="11" name="Coût_Total" tableColumnId="11"/>
      <queryTableField id="12" name="Frais_Transport" tableColumnId="12"/>
      <queryTableField id="13" name="Frais_Marketing" tableColumnId="13"/>
      <queryTableField id="14" name="Autres_Dépenses" tableColumnId="14"/>
      <queryTableField id="15" name="Dépenses_Totales" tableColumnId="15"/>
      <queryTableField id="16" name="Bénéfice" tableColumnId="16"/>
      <queryTableField id="17" name="Année" tableColumnId="17"/>
      <queryTableField id="18" name="Mois" tableColumnId="18"/>
      <queryTableField id="19" name="Mois_Nom" tableColumnId="19"/>
      <queryTableField id="20" name="Marge_%" tableColumnId="20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4B2172-99D7-4752-859A-FB057CE712BA}" name="Tableau1" displayName="Tableau1" ref="A1:T241" totalsRowShown="0" headerRowDxfId="38" headerRowBorderDxfId="40" tableBorderDxfId="41">
  <autoFilter ref="A1:T241" xr:uid="{1D4B2172-99D7-4752-859A-FB057CE712BA}"/>
  <tableColumns count="20">
    <tableColumn id="1" xr3:uid="{1516F9E3-DBD5-437B-8225-04F48E666924}" name="ID_Transaction"/>
    <tableColumn id="2" xr3:uid="{A54C237F-0CA0-45B6-963E-8A152EF325FC}" name="Date" dataDxfId="39"/>
    <tableColumn id="3" xr3:uid="{DC397D54-0280-41F9-9881-82F4845DC6BB}" name="Ville"/>
    <tableColumn id="4" xr3:uid="{6EC32687-81B7-424C-BCDB-68392B1D1209}" name="Produit"/>
    <tableColumn id="5" xr3:uid="{64BC9C5F-D0C7-443B-A519-DBE2150442E2}" name="Catégorie"/>
    <tableColumn id="6" xr3:uid="{AE424146-650E-4441-AE10-FED61C3A56DD}" name="Commercial"/>
    <tableColumn id="7" xr3:uid="{A6EA189A-2333-46B5-9D69-2AB1FB608E65}" name="Quantité"/>
    <tableColumn id="8" xr3:uid="{5F3C38B2-4405-4019-BB78-DB7A64C1EBC1}" name="Prix_Unitaire"/>
    <tableColumn id="9" xr3:uid="{63FE82E9-EA1F-4D3B-960B-F15ADD74F661}" name="Coût_Unitaire"/>
    <tableColumn id="10" xr3:uid="{B6A47E91-9AB0-40C6-9B16-7654F6D8A202}" name="Chiffre_Affaires"/>
    <tableColumn id="11" xr3:uid="{7DF06161-100B-40BD-9A65-0BA8B62E312B}" name="Coût_Total"/>
    <tableColumn id="12" xr3:uid="{C4A23AC4-C7C7-44AC-8E80-BF576AD39502}" name="Frais_Transport"/>
    <tableColumn id="13" xr3:uid="{16DBCDC8-EDDB-4C6F-88D5-1E86332962DF}" name="Frais_Marketing"/>
    <tableColumn id="14" xr3:uid="{95D45820-156F-4C13-8846-F55A7E06A1B8}" name="Autres_Dépenses"/>
    <tableColumn id="15" xr3:uid="{DAC4D46B-D1B6-4CBD-9C7B-B82D122372E8}" name="Dépenses_Totales"/>
    <tableColumn id="16" xr3:uid="{F5C6DC67-4E4C-4CE7-BC41-FD1A402832DE}" name="Bénéfice"/>
    <tableColumn id="17" xr3:uid="{668E9E0F-C656-4D5D-8B73-53DB23F7A883}" name="Année"/>
    <tableColumn id="18" xr3:uid="{69FC65AA-D1C3-4646-B4F2-A305BB093FA5}" name="Mois"/>
    <tableColumn id="19" xr3:uid="{0B589875-8A87-497A-9722-90061644CA87}" name="Mois_Nom"/>
    <tableColumn id="20" xr3:uid="{CC56B018-79BE-4E88-8E55-971B8A0E5EE6}" name="Marge_%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F84AE5F-AEDF-4184-A181-FC865F0D0DC2}" name="Transactions_Financieres" displayName="Transactions_Financieres" ref="A1:T241" tableType="queryTable" totalsRowShown="0">
  <autoFilter ref="A1:T241" xr:uid="{DF84AE5F-AEDF-4184-A181-FC865F0D0DC2}"/>
  <tableColumns count="20">
    <tableColumn id="21" xr3:uid="{BB68DE0C-FF6A-47BE-9862-FF31764FCB7D}" uniqueName="21" name="ID_Transaction" queryTableFieldId="1" dataDxfId="15"/>
    <tableColumn id="2" xr3:uid="{EC6D916B-C05E-496E-9F7B-FE2EA41AF74B}" uniqueName="2" name="Date" queryTableFieldId="2" dataDxfId="14"/>
    <tableColumn id="3" xr3:uid="{30418B8D-5183-4148-BBC6-58DC2A2D8623}" uniqueName="3" name="Ville" queryTableFieldId="3" dataDxfId="13"/>
    <tableColumn id="4" xr3:uid="{69FCC561-F979-4184-851D-50C44B27B731}" uniqueName="4" name="Produit" queryTableFieldId="4" dataDxfId="12"/>
    <tableColumn id="5" xr3:uid="{9D7CCCCB-4C13-4709-977D-06BCAB477E51}" uniqueName="5" name="Catégorie" queryTableFieldId="5" dataDxfId="11"/>
    <tableColumn id="6" xr3:uid="{B3A4EFB7-9434-4BF3-AB6A-34D557DB1679}" uniqueName="6" name="Commercial" queryTableFieldId="6" dataDxfId="10"/>
    <tableColumn id="7" xr3:uid="{63FACB82-3DE1-44B3-B05F-38A2533042B4}" uniqueName="7" name="Quantité" queryTableFieldId="7"/>
    <tableColumn id="8" xr3:uid="{1FD8E087-F517-41F9-B56C-5FDA6A3B1F76}" uniqueName="8" name="Prix_Unitaire" queryTableFieldId="8"/>
    <tableColumn id="9" xr3:uid="{8B985A74-9F97-4E51-B826-30B7C4D4D793}" uniqueName="9" name="Coût_Unitaire" queryTableFieldId="9"/>
    <tableColumn id="10" xr3:uid="{4E768083-A778-4A65-9F91-66A4FF070BE7}" uniqueName="10" name="Chiffre_Affaires" queryTableFieldId="10"/>
    <tableColumn id="11" xr3:uid="{40AE8F38-C815-40A2-BDBA-50B0B6D7F908}" uniqueName="11" name="Coût_Total" queryTableFieldId="11"/>
    <tableColumn id="12" xr3:uid="{0E38744F-16AF-4D72-918D-4293C935FA8D}" uniqueName="12" name="Frais_Transport" queryTableFieldId="12"/>
    <tableColumn id="13" xr3:uid="{6BE838AC-7D79-4BB3-BFE3-6B3E503D36E8}" uniqueName="13" name="Frais_Marketing" queryTableFieldId="13"/>
    <tableColumn id="14" xr3:uid="{EAFA83AF-3001-4F49-9276-DED840535602}" uniqueName="14" name="Autres_Dépenses" queryTableFieldId="14"/>
    <tableColumn id="15" xr3:uid="{284D79F0-EB03-4E92-9A9E-F630B5CB61BE}" uniqueName="15" name="Dépenses_Totales" queryTableFieldId="15"/>
    <tableColumn id="16" xr3:uid="{7B2CB8BF-8AFF-4608-B27B-69B4C450FB29}" uniqueName="16" name="Bénéfice" queryTableFieldId="16"/>
    <tableColumn id="17" xr3:uid="{3A813BC4-1E4E-4B58-93D9-184E6BB93B6C}" uniqueName="17" name="Année" queryTableFieldId="17"/>
    <tableColumn id="18" xr3:uid="{2D82A106-3D35-4DA3-B847-D71DECF653BA}" uniqueName="18" name="Mois" queryTableFieldId="18"/>
    <tableColumn id="19" xr3:uid="{A837895F-6D21-4E45-A236-213151D3B0C1}" uniqueName="19" name="Mois_Nom" queryTableFieldId="19" dataDxfId="9"/>
    <tableColumn id="20" xr3:uid="{34A4E5B1-D88B-40DB-A7BD-5F2ABD2DDABC}" uniqueName="20" name="Marge_%" queryTableFieldId="2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1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1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41"/>
  <sheetViews>
    <sheetView topLeftCell="G1" workbookViewId="0">
      <selection activeCell="J27" sqref="J27"/>
    </sheetView>
  </sheetViews>
  <sheetFormatPr baseColWidth="10" defaultColWidth="8.88671875" defaultRowHeight="14.4" x14ac:dyDescent="0.3"/>
  <cols>
    <col min="1" max="1" width="15.44140625" customWidth="1"/>
    <col min="2" max="2" width="21.109375" customWidth="1"/>
    <col min="3" max="3" width="12.88671875" customWidth="1"/>
    <col min="4" max="4" width="12.21875" customWidth="1"/>
    <col min="5" max="5" width="14.88671875" customWidth="1"/>
    <col min="6" max="6" width="12.88671875" customWidth="1"/>
    <col min="7" max="7" width="14.5546875" customWidth="1"/>
    <col min="8" max="8" width="13.88671875" customWidth="1"/>
    <col min="9" max="9" width="14.6640625" customWidth="1"/>
    <col min="10" max="10" width="16" customWidth="1"/>
    <col min="11" max="11" width="13.44140625" customWidth="1"/>
    <col min="12" max="12" width="15.77734375" customWidth="1"/>
    <col min="13" max="13" width="16.88671875" customWidth="1"/>
    <col min="14" max="14" width="17.33203125" customWidth="1"/>
    <col min="15" max="15" width="17.88671875" customWidth="1"/>
    <col min="16" max="16" width="11.33203125" customWidth="1"/>
    <col min="17" max="17" width="11.6640625" customWidth="1"/>
    <col min="18" max="18" width="10.88671875" customWidth="1"/>
    <col min="19" max="19" width="12.109375" customWidth="1"/>
    <col min="20" max="20" width="13.109375" customWidth="1"/>
  </cols>
  <sheetData>
    <row r="1" spans="1:20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 x14ac:dyDescent="0.3">
      <c r="A2" t="s">
        <v>20</v>
      </c>
      <c r="B2" s="2">
        <v>45673</v>
      </c>
      <c r="C2" t="s">
        <v>21</v>
      </c>
      <c r="D2" t="s">
        <v>22</v>
      </c>
      <c r="E2" t="s">
        <v>23</v>
      </c>
      <c r="F2" t="s">
        <v>24</v>
      </c>
      <c r="G2">
        <v>7</v>
      </c>
      <c r="H2">
        <v>25486</v>
      </c>
      <c r="I2">
        <v>14794</v>
      </c>
      <c r="J2">
        <v>178402</v>
      </c>
      <c r="K2">
        <v>103558</v>
      </c>
      <c r="L2">
        <v>9314</v>
      </c>
      <c r="M2">
        <v>15000</v>
      </c>
      <c r="N2">
        <v>5000</v>
      </c>
      <c r="O2">
        <v>132872</v>
      </c>
      <c r="P2">
        <v>45530</v>
      </c>
      <c r="Q2">
        <v>2025</v>
      </c>
      <c r="R2">
        <v>1</v>
      </c>
      <c r="S2" t="s">
        <v>25</v>
      </c>
      <c r="T2">
        <v>25.52</v>
      </c>
    </row>
    <row r="3" spans="1:20" x14ac:dyDescent="0.3">
      <c r="A3" t="s">
        <v>26</v>
      </c>
      <c r="B3" s="2">
        <v>45674</v>
      </c>
      <c r="C3" t="s">
        <v>27</v>
      </c>
      <c r="D3" t="s">
        <v>28</v>
      </c>
      <c r="E3" t="s">
        <v>29</v>
      </c>
      <c r="F3" t="s">
        <v>30</v>
      </c>
      <c r="G3">
        <v>6</v>
      </c>
      <c r="H3">
        <v>175276</v>
      </c>
      <c r="I3">
        <v>132897</v>
      </c>
      <c r="J3">
        <v>1051656</v>
      </c>
      <c r="K3">
        <v>797382</v>
      </c>
      <c r="L3">
        <v>8396</v>
      </c>
      <c r="M3">
        <v>20000</v>
      </c>
      <c r="N3">
        <v>5000</v>
      </c>
      <c r="O3">
        <v>830778</v>
      </c>
      <c r="P3">
        <v>220878</v>
      </c>
      <c r="Q3">
        <v>2025</v>
      </c>
      <c r="R3">
        <v>1</v>
      </c>
      <c r="S3" t="s">
        <v>25</v>
      </c>
      <c r="T3">
        <v>21</v>
      </c>
    </row>
    <row r="4" spans="1:20" x14ac:dyDescent="0.3">
      <c r="A4" t="s">
        <v>31</v>
      </c>
      <c r="B4" s="2">
        <v>45674</v>
      </c>
      <c r="C4" t="s">
        <v>32</v>
      </c>
      <c r="D4" t="s">
        <v>22</v>
      </c>
      <c r="E4" t="s">
        <v>23</v>
      </c>
      <c r="F4" t="s">
        <v>24</v>
      </c>
      <c r="G4">
        <v>10</v>
      </c>
      <c r="H4">
        <v>22886</v>
      </c>
      <c r="I4">
        <v>13521</v>
      </c>
      <c r="J4">
        <v>228860</v>
      </c>
      <c r="K4">
        <v>135210</v>
      </c>
      <c r="L4">
        <v>23831</v>
      </c>
      <c r="M4">
        <v>0</v>
      </c>
      <c r="N4">
        <v>10000</v>
      </c>
      <c r="O4">
        <v>169041</v>
      </c>
      <c r="P4">
        <v>59819</v>
      </c>
      <c r="Q4">
        <v>2025</v>
      </c>
      <c r="R4">
        <v>1</v>
      </c>
      <c r="S4" t="s">
        <v>25</v>
      </c>
      <c r="T4">
        <v>26.14</v>
      </c>
    </row>
    <row r="5" spans="1:20" x14ac:dyDescent="0.3">
      <c r="A5" t="s">
        <v>33</v>
      </c>
      <c r="B5" s="2">
        <v>45675</v>
      </c>
      <c r="C5" t="s">
        <v>34</v>
      </c>
      <c r="D5" t="s">
        <v>35</v>
      </c>
      <c r="E5" t="s">
        <v>36</v>
      </c>
      <c r="F5" t="s">
        <v>37</v>
      </c>
      <c r="G5">
        <v>4</v>
      </c>
      <c r="H5">
        <v>481964</v>
      </c>
      <c r="I5">
        <v>380938</v>
      </c>
      <c r="J5">
        <v>1927856</v>
      </c>
      <c r="K5">
        <v>1523752</v>
      </c>
      <c r="L5">
        <v>33445</v>
      </c>
      <c r="M5">
        <v>20000</v>
      </c>
      <c r="N5">
        <v>5000</v>
      </c>
      <c r="O5">
        <v>1582197</v>
      </c>
      <c r="P5">
        <v>345659</v>
      </c>
      <c r="Q5">
        <v>2025</v>
      </c>
      <c r="R5">
        <v>1</v>
      </c>
      <c r="S5" t="s">
        <v>25</v>
      </c>
      <c r="T5">
        <v>17.93</v>
      </c>
    </row>
    <row r="6" spans="1:20" x14ac:dyDescent="0.3">
      <c r="A6" t="s">
        <v>38</v>
      </c>
      <c r="B6" s="2">
        <v>45679</v>
      </c>
      <c r="C6" t="s">
        <v>32</v>
      </c>
      <c r="D6" t="s">
        <v>39</v>
      </c>
      <c r="E6" t="s">
        <v>23</v>
      </c>
      <c r="F6" t="s">
        <v>40</v>
      </c>
      <c r="G6">
        <v>4</v>
      </c>
      <c r="H6">
        <v>33636</v>
      </c>
      <c r="I6">
        <v>19967</v>
      </c>
      <c r="J6">
        <v>134544</v>
      </c>
      <c r="K6">
        <v>79868</v>
      </c>
      <c r="L6">
        <v>35242</v>
      </c>
      <c r="M6">
        <v>0</v>
      </c>
      <c r="N6">
        <v>3000</v>
      </c>
      <c r="O6">
        <v>118110</v>
      </c>
      <c r="P6">
        <v>16434</v>
      </c>
      <c r="Q6">
        <v>2025</v>
      </c>
      <c r="R6">
        <v>1</v>
      </c>
      <c r="S6" t="s">
        <v>25</v>
      </c>
      <c r="T6">
        <v>12.21</v>
      </c>
    </row>
    <row r="7" spans="1:20" x14ac:dyDescent="0.3">
      <c r="A7" t="s">
        <v>41</v>
      </c>
      <c r="B7" s="2">
        <v>45684</v>
      </c>
      <c r="C7" t="s">
        <v>32</v>
      </c>
      <c r="D7" t="s">
        <v>28</v>
      </c>
      <c r="E7" t="s">
        <v>29</v>
      </c>
      <c r="F7" t="s">
        <v>42</v>
      </c>
      <c r="G7">
        <v>11</v>
      </c>
      <c r="H7">
        <v>180557</v>
      </c>
      <c r="I7">
        <v>128867</v>
      </c>
      <c r="J7">
        <v>1986127</v>
      </c>
      <c r="K7">
        <v>1417537</v>
      </c>
      <c r="L7">
        <v>35536</v>
      </c>
      <c r="M7">
        <v>5000</v>
      </c>
      <c r="N7">
        <v>2000</v>
      </c>
      <c r="O7">
        <v>1460073</v>
      </c>
      <c r="P7">
        <v>526054</v>
      </c>
      <c r="Q7">
        <v>2025</v>
      </c>
      <c r="R7">
        <v>1</v>
      </c>
      <c r="S7" t="s">
        <v>25</v>
      </c>
      <c r="T7">
        <v>26.49</v>
      </c>
    </row>
    <row r="8" spans="1:20" x14ac:dyDescent="0.3">
      <c r="A8" t="s">
        <v>43</v>
      </c>
      <c r="B8" s="2">
        <v>45686</v>
      </c>
      <c r="C8" t="s">
        <v>27</v>
      </c>
      <c r="D8" t="s">
        <v>28</v>
      </c>
      <c r="E8" t="s">
        <v>29</v>
      </c>
      <c r="F8" t="s">
        <v>24</v>
      </c>
      <c r="G8">
        <v>14</v>
      </c>
      <c r="H8">
        <v>187211</v>
      </c>
      <c r="I8">
        <v>128295</v>
      </c>
      <c r="J8">
        <v>2620954</v>
      </c>
      <c r="K8">
        <v>1796130</v>
      </c>
      <c r="L8">
        <v>9785</v>
      </c>
      <c r="M8">
        <v>5000</v>
      </c>
      <c r="N8">
        <v>2000</v>
      </c>
      <c r="O8">
        <v>1812915</v>
      </c>
      <c r="P8">
        <v>808039</v>
      </c>
      <c r="Q8">
        <v>2025</v>
      </c>
      <c r="R8">
        <v>1</v>
      </c>
      <c r="S8" t="s">
        <v>25</v>
      </c>
      <c r="T8">
        <v>30.83</v>
      </c>
    </row>
    <row r="9" spans="1:20" x14ac:dyDescent="0.3">
      <c r="A9" t="s">
        <v>44</v>
      </c>
      <c r="B9" s="2">
        <v>45689</v>
      </c>
      <c r="C9" t="s">
        <v>32</v>
      </c>
      <c r="D9" t="s">
        <v>35</v>
      </c>
      <c r="E9" t="s">
        <v>36</v>
      </c>
      <c r="F9" t="s">
        <v>45</v>
      </c>
      <c r="G9">
        <v>4</v>
      </c>
      <c r="H9">
        <v>485216</v>
      </c>
      <c r="I9">
        <v>389961</v>
      </c>
      <c r="J9">
        <v>1940864</v>
      </c>
      <c r="K9">
        <v>1559844</v>
      </c>
      <c r="L9">
        <v>12696</v>
      </c>
      <c r="M9">
        <v>10000</v>
      </c>
      <c r="N9">
        <v>5000</v>
      </c>
      <c r="O9">
        <v>1587540</v>
      </c>
      <c r="P9">
        <v>353324</v>
      </c>
      <c r="Q9">
        <v>2025</v>
      </c>
      <c r="R9">
        <v>2</v>
      </c>
      <c r="S9" t="s">
        <v>46</v>
      </c>
      <c r="T9">
        <v>18.2</v>
      </c>
    </row>
    <row r="10" spans="1:20" x14ac:dyDescent="0.3">
      <c r="A10" t="s">
        <v>47</v>
      </c>
      <c r="B10" s="2">
        <v>45690</v>
      </c>
      <c r="C10" t="s">
        <v>27</v>
      </c>
      <c r="D10" t="s">
        <v>28</v>
      </c>
      <c r="E10" t="s">
        <v>29</v>
      </c>
      <c r="F10" t="s">
        <v>45</v>
      </c>
      <c r="G10">
        <v>9</v>
      </c>
      <c r="H10">
        <v>175198</v>
      </c>
      <c r="I10">
        <v>133066</v>
      </c>
      <c r="J10">
        <v>1576782</v>
      </c>
      <c r="K10">
        <v>1197594</v>
      </c>
      <c r="L10">
        <v>12020</v>
      </c>
      <c r="M10">
        <v>20000</v>
      </c>
      <c r="N10">
        <v>3000</v>
      </c>
      <c r="O10">
        <v>1232614</v>
      </c>
      <c r="P10">
        <v>344168</v>
      </c>
      <c r="Q10">
        <v>2025</v>
      </c>
      <c r="R10">
        <v>2</v>
      </c>
      <c r="S10" t="s">
        <v>46</v>
      </c>
      <c r="T10">
        <v>21.83</v>
      </c>
    </row>
    <row r="11" spans="1:20" x14ac:dyDescent="0.3">
      <c r="A11" t="s">
        <v>48</v>
      </c>
      <c r="B11" s="2">
        <v>45698</v>
      </c>
      <c r="C11" t="s">
        <v>49</v>
      </c>
      <c r="D11" t="s">
        <v>28</v>
      </c>
      <c r="E11" t="s">
        <v>29</v>
      </c>
      <c r="F11" t="s">
        <v>45</v>
      </c>
      <c r="G11">
        <v>1</v>
      </c>
      <c r="H11">
        <v>167263</v>
      </c>
      <c r="I11">
        <v>133973</v>
      </c>
      <c r="J11">
        <v>167263</v>
      </c>
      <c r="K11">
        <v>133973</v>
      </c>
      <c r="L11">
        <v>9941</v>
      </c>
      <c r="M11">
        <v>10000</v>
      </c>
      <c r="N11">
        <v>5000</v>
      </c>
      <c r="O11">
        <v>158914</v>
      </c>
      <c r="P11">
        <v>8349</v>
      </c>
      <c r="Q11">
        <v>2025</v>
      </c>
      <c r="R11">
        <v>2</v>
      </c>
      <c r="S11" t="s">
        <v>46</v>
      </c>
      <c r="T11">
        <v>4.99</v>
      </c>
    </row>
    <row r="12" spans="1:20" x14ac:dyDescent="0.3">
      <c r="A12" t="s">
        <v>50</v>
      </c>
      <c r="B12" s="2">
        <v>45700</v>
      </c>
      <c r="C12" t="s">
        <v>34</v>
      </c>
      <c r="D12" t="s">
        <v>28</v>
      </c>
      <c r="E12" t="s">
        <v>29</v>
      </c>
      <c r="F12" t="s">
        <v>45</v>
      </c>
      <c r="G12">
        <v>9</v>
      </c>
      <c r="H12">
        <v>166689</v>
      </c>
      <c r="I12">
        <v>135160</v>
      </c>
      <c r="J12">
        <v>1500201</v>
      </c>
      <c r="K12">
        <v>1216440</v>
      </c>
      <c r="L12">
        <v>25640</v>
      </c>
      <c r="M12">
        <v>10000</v>
      </c>
      <c r="N12">
        <v>2000</v>
      </c>
      <c r="O12">
        <v>1254080</v>
      </c>
      <c r="P12">
        <v>246121</v>
      </c>
      <c r="Q12">
        <v>2025</v>
      </c>
      <c r="R12">
        <v>2</v>
      </c>
      <c r="S12" t="s">
        <v>46</v>
      </c>
      <c r="T12">
        <v>16.41</v>
      </c>
    </row>
    <row r="13" spans="1:20" x14ac:dyDescent="0.3">
      <c r="A13" t="s">
        <v>51</v>
      </c>
      <c r="B13" s="2">
        <v>45702</v>
      </c>
      <c r="C13" t="s">
        <v>49</v>
      </c>
      <c r="D13" t="s">
        <v>28</v>
      </c>
      <c r="E13" t="s">
        <v>29</v>
      </c>
      <c r="F13" t="s">
        <v>40</v>
      </c>
      <c r="G13">
        <v>12</v>
      </c>
      <c r="H13">
        <v>174919</v>
      </c>
      <c r="I13">
        <v>128952</v>
      </c>
      <c r="J13">
        <v>2099028</v>
      </c>
      <c r="K13">
        <v>1547424</v>
      </c>
      <c r="L13">
        <v>33434</v>
      </c>
      <c r="M13">
        <v>5000</v>
      </c>
      <c r="N13">
        <v>8000</v>
      </c>
      <c r="O13">
        <v>1593858</v>
      </c>
      <c r="P13">
        <v>505170</v>
      </c>
      <c r="Q13">
        <v>2025</v>
      </c>
      <c r="R13">
        <v>2</v>
      </c>
      <c r="S13" t="s">
        <v>46</v>
      </c>
      <c r="T13">
        <v>24.07</v>
      </c>
    </row>
    <row r="14" spans="1:20" x14ac:dyDescent="0.3">
      <c r="A14" t="s">
        <v>52</v>
      </c>
      <c r="B14" s="2">
        <v>45703</v>
      </c>
      <c r="C14" t="s">
        <v>49</v>
      </c>
      <c r="D14" t="s">
        <v>22</v>
      </c>
      <c r="E14" t="s">
        <v>23</v>
      </c>
      <c r="F14" t="s">
        <v>37</v>
      </c>
      <c r="G14">
        <v>1</v>
      </c>
      <c r="H14">
        <v>23041</v>
      </c>
      <c r="I14">
        <v>14542</v>
      </c>
      <c r="J14">
        <v>23041</v>
      </c>
      <c r="K14">
        <v>14542</v>
      </c>
      <c r="L14">
        <v>34382</v>
      </c>
      <c r="M14">
        <v>5000</v>
      </c>
      <c r="N14">
        <v>5000</v>
      </c>
      <c r="O14">
        <v>58924</v>
      </c>
      <c r="P14">
        <v>-35883</v>
      </c>
      <c r="Q14">
        <v>2025</v>
      </c>
      <c r="R14">
        <v>2</v>
      </c>
      <c r="S14" t="s">
        <v>46</v>
      </c>
      <c r="T14">
        <v>-155.74</v>
      </c>
    </row>
    <row r="15" spans="1:20" x14ac:dyDescent="0.3">
      <c r="A15" t="s">
        <v>53</v>
      </c>
      <c r="B15" s="2">
        <v>45703</v>
      </c>
      <c r="C15" t="s">
        <v>32</v>
      </c>
      <c r="D15" t="s">
        <v>28</v>
      </c>
      <c r="E15" t="s">
        <v>29</v>
      </c>
      <c r="F15" t="s">
        <v>45</v>
      </c>
      <c r="G15">
        <v>6</v>
      </c>
      <c r="H15">
        <v>178318</v>
      </c>
      <c r="I15">
        <v>126004</v>
      </c>
      <c r="J15">
        <v>1069908</v>
      </c>
      <c r="K15">
        <v>756024</v>
      </c>
      <c r="L15">
        <v>34294</v>
      </c>
      <c r="M15">
        <v>15000</v>
      </c>
      <c r="N15">
        <v>8000</v>
      </c>
      <c r="O15">
        <v>813318</v>
      </c>
      <c r="P15">
        <v>256590</v>
      </c>
      <c r="Q15">
        <v>2025</v>
      </c>
      <c r="R15">
        <v>2</v>
      </c>
      <c r="S15" t="s">
        <v>46</v>
      </c>
      <c r="T15">
        <v>23.98</v>
      </c>
    </row>
    <row r="16" spans="1:20" x14ac:dyDescent="0.3">
      <c r="A16" t="s">
        <v>54</v>
      </c>
      <c r="B16" s="2">
        <v>45704</v>
      </c>
      <c r="C16" t="s">
        <v>21</v>
      </c>
      <c r="D16" t="s">
        <v>35</v>
      </c>
      <c r="E16" t="s">
        <v>36</v>
      </c>
      <c r="F16" t="s">
        <v>42</v>
      </c>
      <c r="G16">
        <v>12</v>
      </c>
      <c r="H16">
        <v>492524</v>
      </c>
      <c r="I16">
        <v>390824</v>
      </c>
      <c r="J16">
        <v>5910288</v>
      </c>
      <c r="K16">
        <v>4689888</v>
      </c>
      <c r="L16">
        <v>24968</v>
      </c>
      <c r="M16">
        <v>5000</v>
      </c>
      <c r="N16">
        <v>10000</v>
      </c>
      <c r="O16">
        <v>4729856</v>
      </c>
      <c r="P16">
        <v>1180432</v>
      </c>
      <c r="Q16">
        <v>2025</v>
      </c>
      <c r="R16">
        <v>2</v>
      </c>
      <c r="S16" t="s">
        <v>46</v>
      </c>
      <c r="T16">
        <v>19.97</v>
      </c>
    </row>
    <row r="17" spans="1:20" x14ac:dyDescent="0.3">
      <c r="A17" t="s">
        <v>55</v>
      </c>
      <c r="B17" s="2">
        <v>45704</v>
      </c>
      <c r="C17" t="s">
        <v>27</v>
      </c>
      <c r="D17" t="s">
        <v>56</v>
      </c>
      <c r="E17" t="s">
        <v>36</v>
      </c>
      <c r="F17" t="s">
        <v>42</v>
      </c>
      <c r="G17">
        <v>10</v>
      </c>
      <c r="H17">
        <v>152798</v>
      </c>
      <c r="I17">
        <v>103937</v>
      </c>
      <c r="J17">
        <v>1527980</v>
      </c>
      <c r="K17">
        <v>1039370</v>
      </c>
      <c r="L17">
        <v>14456</v>
      </c>
      <c r="M17">
        <v>0</v>
      </c>
      <c r="N17">
        <v>8000</v>
      </c>
      <c r="O17">
        <v>1061826</v>
      </c>
      <c r="P17">
        <v>466154</v>
      </c>
      <c r="Q17">
        <v>2025</v>
      </c>
      <c r="R17">
        <v>2</v>
      </c>
      <c r="S17" t="s">
        <v>46</v>
      </c>
      <c r="T17">
        <v>30.51</v>
      </c>
    </row>
    <row r="18" spans="1:20" x14ac:dyDescent="0.3">
      <c r="A18" t="s">
        <v>57</v>
      </c>
      <c r="B18" s="2">
        <v>45706</v>
      </c>
      <c r="C18" t="s">
        <v>49</v>
      </c>
      <c r="D18" t="s">
        <v>58</v>
      </c>
      <c r="E18" t="s">
        <v>29</v>
      </c>
      <c r="F18" t="s">
        <v>42</v>
      </c>
      <c r="G18">
        <v>11</v>
      </c>
      <c r="H18">
        <v>229570</v>
      </c>
      <c r="I18">
        <v>175049</v>
      </c>
      <c r="J18">
        <v>2525270</v>
      </c>
      <c r="K18">
        <v>1925539</v>
      </c>
      <c r="L18">
        <v>10790</v>
      </c>
      <c r="M18">
        <v>15000</v>
      </c>
      <c r="N18">
        <v>10000</v>
      </c>
      <c r="O18">
        <v>1961329</v>
      </c>
      <c r="P18">
        <v>563941</v>
      </c>
      <c r="Q18">
        <v>2025</v>
      </c>
      <c r="R18">
        <v>2</v>
      </c>
      <c r="S18" t="s">
        <v>46</v>
      </c>
      <c r="T18">
        <v>22.33</v>
      </c>
    </row>
    <row r="19" spans="1:20" x14ac:dyDescent="0.3">
      <c r="A19" t="s">
        <v>59</v>
      </c>
      <c r="B19" s="2">
        <v>45709</v>
      </c>
      <c r="C19" t="s">
        <v>21</v>
      </c>
      <c r="D19" t="s">
        <v>28</v>
      </c>
      <c r="E19" t="s">
        <v>29</v>
      </c>
      <c r="F19" t="s">
        <v>30</v>
      </c>
      <c r="G19">
        <v>3</v>
      </c>
      <c r="H19">
        <v>181471</v>
      </c>
      <c r="I19">
        <v>126434</v>
      </c>
      <c r="J19">
        <v>544413</v>
      </c>
      <c r="K19">
        <v>379302</v>
      </c>
      <c r="L19">
        <v>28950</v>
      </c>
      <c r="M19">
        <v>5000</v>
      </c>
      <c r="N19">
        <v>10000</v>
      </c>
      <c r="O19">
        <v>423252</v>
      </c>
      <c r="P19">
        <v>121161</v>
      </c>
      <c r="Q19">
        <v>2025</v>
      </c>
      <c r="R19">
        <v>2</v>
      </c>
      <c r="S19" t="s">
        <v>46</v>
      </c>
      <c r="T19">
        <v>22.26</v>
      </c>
    </row>
    <row r="20" spans="1:20" x14ac:dyDescent="0.3">
      <c r="A20" t="s">
        <v>60</v>
      </c>
      <c r="B20" s="2">
        <v>45709</v>
      </c>
      <c r="C20" t="s">
        <v>49</v>
      </c>
      <c r="D20" t="s">
        <v>28</v>
      </c>
      <c r="E20" t="s">
        <v>29</v>
      </c>
      <c r="F20" t="s">
        <v>45</v>
      </c>
      <c r="G20">
        <v>14</v>
      </c>
      <c r="H20">
        <v>168084</v>
      </c>
      <c r="I20">
        <v>127050</v>
      </c>
      <c r="J20">
        <v>2353176</v>
      </c>
      <c r="K20">
        <v>1778700</v>
      </c>
      <c r="L20">
        <v>12791</v>
      </c>
      <c r="M20">
        <v>10000</v>
      </c>
      <c r="N20">
        <v>10000</v>
      </c>
      <c r="O20">
        <v>1811491</v>
      </c>
      <c r="P20">
        <v>541685</v>
      </c>
      <c r="Q20">
        <v>2025</v>
      </c>
      <c r="R20">
        <v>2</v>
      </c>
      <c r="S20" t="s">
        <v>46</v>
      </c>
      <c r="T20">
        <v>23.02</v>
      </c>
    </row>
    <row r="21" spans="1:20" x14ac:dyDescent="0.3">
      <c r="A21" t="s">
        <v>61</v>
      </c>
      <c r="B21" s="2">
        <v>45709</v>
      </c>
      <c r="C21" t="s">
        <v>32</v>
      </c>
      <c r="D21" t="s">
        <v>22</v>
      </c>
      <c r="E21" t="s">
        <v>23</v>
      </c>
      <c r="F21" t="s">
        <v>40</v>
      </c>
      <c r="G21">
        <v>4</v>
      </c>
      <c r="H21">
        <v>24189</v>
      </c>
      <c r="I21">
        <v>13381</v>
      </c>
      <c r="J21">
        <v>96756</v>
      </c>
      <c r="K21">
        <v>53524</v>
      </c>
      <c r="L21">
        <v>23179</v>
      </c>
      <c r="M21">
        <v>10000</v>
      </c>
      <c r="N21">
        <v>8000</v>
      </c>
      <c r="O21">
        <v>94703</v>
      </c>
      <c r="P21">
        <v>2053</v>
      </c>
      <c r="Q21">
        <v>2025</v>
      </c>
      <c r="R21">
        <v>2</v>
      </c>
      <c r="S21" t="s">
        <v>46</v>
      </c>
      <c r="T21">
        <v>2.12</v>
      </c>
    </row>
    <row r="22" spans="1:20" x14ac:dyDescent="0.3">
      <c r="A22" t="s">
        <v>62</v>
      </c>
      <c r="B22" s="2">
        <v>45710</v>
      </c>
      <c r="C22" t="s">
        <v>49</v>
      </c>
      <c r="D22" t="s">
        <v>35</v>
      </c>
      <c r="E22" t="s">
        <v>36</v>
      </c>
      <c r="F22" t="s">
        <v>45</v>
      </c>
      <c r="G22">
        <v>14</v>
      </c>
      <c r="H22">
        <v>463138</v>
      </c>
      <c r="I22">
        <v>370652</v>
      </c>
      <c r="J22">
        <v>6483932</v>
      </c>
      <c r="K22">
        <v>5189128</v>
      </c>
      <c r="L22">
        <v>11608</v>
      </c>
      <c r="M22">
        <v>10000</v>
      </c>
      <c r="N22">
        <v>3000</v>
      </c>
      <c r="O22">
        <v>5213736</v>
      </c>
      <c r="P22">
        <v>1270196</v>
      </c>
      <c r="Q22">
        <v>2025</v>
      </c>
      <c r="R22">
        <v>2</v>
      </c>
      <c r="S22" t="s">
        <v>46</v>
      </c>
      <c r="T22">
        <v>19.59</v>
      </c>
    </row>
    <row r="23" spans="1:20" x14ac:dyDescent="0.3">
      <c r="A23" t="s">
        <v>63</v>
      </c>
      <c r="B23" s="2">
        <v>45712</v>
      </c>
      <c r="C23" t="s">
        <v>21</v>
      </c>
      <c r="D23" t="s">
        <v>58</v>
      </c>
      <c r="E23" t="s">
        <v>29</v>
      </c>
      <c r="F23" t="s">
        <v>37</v>
      </c>
      <c r="G23">
        <v>13</v>
      </c>
      <c r="H23">
        <v>234731</v>
      </c>
      <c r="I23">
        <v>172099</v>
      </c>
      <c r="J23">
        <v>3051503</v>
      </c>
      <c r="K23">
        <v>2237287</v>
      </c>
      <c r="L23">
        <v>16415</v>
      </c>
      <c r="M23">
        <v>0</v>
      </c>
      <c r="N23">
        <v>10000</v>
      </c>
      <c r="O23">
        <v>2263702</v>
      </c>
      <c r="P23">
        <v>787801</v>
      </c>
      <c r="Q23">
        <v>2025</v>
      </c>
      <c r="R23">
        <v>2</v>
      </c>
      <c r="S23" t="s">
        <v>46</v>
      </c>
      <c r="T23">
        <v>25.82</v>
      </c>
    </row>
    <row r="24" spans="1:20" x14ac:dyDescent="0.3">
      <c r="A24" t="s">
        <v>64</v>
      </c>
      <c r="B24" s="2">
        <v>45716</v>
      </c>
      <c r="C24" t="s">
        <v>49</v>
      </c>
      <c r="D24" t="s">
        <v>35</v>
      </c>
      <c r="E24" t="s">
        <v>36</v>
      </c>
      <c r="F24" t="s">
        <v>42</v>
      </c>
      <c r="G24">
        <v>6</v>
      </c>
      <c r="H24">
        <v>478799</v>
      </c>
      <c r="I24">
        <v>402671</v>
      </c>
      <c r="J24">
        <v>2872794</v>
      </c>
      <c r="K24">
        <v>2416026</v>
      </c>
      <c r="L24">
        <v>12802</v>
      </c>
      <c r="M24">
        <v>0</v>
      </c>
      <c r="N24">
        <v>3000</v>
      </c>
      <c r="O24">
        <v>2431828</v>
      </c>
      <c r="P24">
        <v>440966</v>
      </c>
      <c r="Q24">
        <v>2025</v>
      </c>
      <c r="R24">
        <v>2</v>
      </c>
      <c r="S24" t="s">
        <v>46</v>
      </c>
      <c r="T24">
        <v>15.35</v>
      </c>
    </row>
    <row r="25" spans="1:20" x14ac:dyDescent="0.3">
      <c r="A25" t="s">
        <v>65</v>
      </c>
      <c r="B25" s="2">
        <v>45719</v>
      </c>
      <c r="C25" t="s">
        <v>27</v>
      </c>
      <c r="D25" t="s">
        <v>39</v>
      </c>
      <c r="E25" t="s">
        <v>23</v>
      </c>
      <c r="F25" t="s">
        <v>30</v>
      </c>
      <c r="G25">
        <v>13</v>
      </c>
      <c r="H25">
        <v>33918</v>
      </c>
      <c r="I25">
        <v>20437</v>
      </c>
      <c r="J25">
        <v>440934</v>
      </c>
      <c r="K25">
        <v>265681</v>
      </c>
      <c r="L25">
        <v>26640</v>
      </c>
      <c r="M25">
        <v>0</v>
      </c>
      <c r="N25">
        <v>3000</v>
      </c>
      <c r="O25">
        <v>295321</v>
      </c>
      <c r="P25">
        <v>145613</v>
      </c>
      <c r="Q25">
        <v>2025</v>
      </c>
      <c r="R25">
        <v>3</v>
      </c>
      <c r="S25" t="s">
        <v>66</v>
      </c>
      <c r="T25">
        <v>33.020000000000003</v>
      </c>
    </row>
    <row r="26" spans="1:20" x14ac:dyDescent="0.3">
      <c r="A26" t="s">
        <v>67</v>
      </c>
      <c r="B26" s="2">
        <v>45723</v>
      </c>
      <c r="C26" t="s">
        <v>49</v>
      </c>
      <c r="D26" t="s">
        <v>56</v>
      </c>
      <c r="E26" t="s">
        <v>36</v>
      </c>
      <c r="F26" t="s">
        <v>45</v>
      </c>
      <c r="G26">
        <v>10</v>
      </c>
      <c r="H26">
        <v>147346</v>
      </c>
      <c r="I26">
        <v>105861</v>
      </c>
      <c r="J26">
        <v>1473460</v>
      </c>
      <c r="K26">
        <v>1058610</v>
      </c>
      <c r="L26">
        <v>28910</v>
      </c>
      <c r="M26">
        <v>0</v>
      </c>
      <c r="N26">
        <v>2000</v>
      </c>
      <c r="O26">
        <v>1089520</v>
      </c>
      <c r="P26">
        <v>383940</v>
      </c>
      <c r="Q26">
        <v>2025</v>
      </c>
      <c r="R26">
        <v>3</v>
      </c>
      <c r="S26" t="s">
        <v>66</v>
      </c>
      <c r="T26">
        <v>26.06</v>
      </c>
    </row>
    <row r="27" spans="1:20" x14ac:dyDescent="0.3">
      <c r="A27" t="s">
        <v>68</v>
      </c>
      <c r="B27" s="2">
        <v>45724</v>
      </c>
      <c r="C27" t="s">
        <v>32</v>
      </c>
      <c r="D27" t="s">
        <v>39</v>
      </c>
      <c r="E27" t="s">
        <v>23</v>
      </c>
      <c r="F27" t="s">
        <v>42</v>
      </c>
      <c r="G27">
        <v>5</v>
      </c>
      <c r="H27">
        <v>35031</v>
      </c>
      <c r="I27">
        <v>21917</v>
      </c>
      <c r="J27">
        <v>175155</v>
      </c>
      <c r="K27">
        <v>109585</v>
      </c>
      <c r="L27">
        <v>35405</v>
      </c>
      <c r="M27">
        <v>5000</v>
      </c>
      <c r="N27">
        <v>5000</v>
      </c>
      <c r="O27">
        <v>154990</v>
      </c>
      <c r="P27">
        <v>20165</v>
      </c>
      <c r="Q27">
        <v>2025</v>
      </c>
      <c r="R27">
        <v>3</v>
      </c>
      <c r="S27" t="s">
        <v>66</v>
      </c>
      <c r="T27">
        <v>11.51</v>
      </c>
    </row>
    <row r="28" spans="1:20" x14ac:dyDescent="0.3">
      <c r="A28" t="s">
        <v>69</v>
      </c>
      <c r="B28" s="2">
        <v>45729</v>
      </c>
      <c r="C28" t="s">
        <v>34</v>
      </c>
      <c r="D28" t="s">
        <v>22</v>
      </c>
      <c r="E28" t="s">
        <v>23</v>
      </c>
      <c r="F28" t="s">
        <v>24</v>
      </c>
      <c r="G28">
        <v>10</v>
      </c>
      <c r="H28">
        <v>22877</v>
      </c>
      <c r="I28">
        <v>14606</v>
      </c>
      <c r="J28">
        <v>228770</v>
      </c>
      <c r="K28">
        <v>146060</v>
      </c>
      <c r="L28">
        <v>35730</v>
      </c>
      <c r="M28">
        <v>10000</v>
      </c>
      <c r="N28">
        <v>10000</v>
      </c>
      <c r="O28">
        <v>201790</v>
      </c>
      <c r="P28">
        <v>26980</v>
      </c>
      <c r="Q28">
        <v>2025</v>
      </c>
      <c r="R28">
        <v>3</v>
      </c>
      <c r="S28" t="s">
        <v>66</v>
      </c>
      <c r="T28">
        <v>11.79</v>
      </c>
    </row>
    <row r="29" spans="1:20" x14ac:dyDescent="0.3">
      <c r="A29" t="s">
        <v>70</v>
      </c>
      <c r="B29" s="2">
        <v>45731</v>
      </c>
      <c r="C29" t="s">
        <v>21</v>
      </c>
      <c r="D29" t="s">
        <v>39</v>
      </c>
      <c r="E29" t="s">
        <v>23</v>
      </c>
      <c r="F29" t="s">
        <v>30</v>
      </c>
      <c r="G29">
        <v>9</v>
      </c>
      <c r="H29">
        <v>35014</v>
      </c>
      <c r="I29">
        <v>20327</v>
      </c>
      <c r="J29">
        <v>315126</v>
      </c>
      <c r="K29">
        <v>182943</v>
      </c>
      <c r="L29">
        <v>21791</v>
      </c>
      <c r="M29">
        <v>10000</v>
      </c>
      <c r="N29">
        <v>10000</v>
      </c>
      <c r="O29">
        <v>224734</v>
      </c>
      <c r="P29">
        <v>90392</v>
      </c>
      <c r="Q29">
        <v>2025</v>
      </c>
      <c r="R29">
        <v>3</v>
      </c>
      <c r="S29" t="s">
        <v>66</v>
      </c>
      <c r="T29">
        <v>28.68</v>
      </c>
    </row>
    <row r="30" spans="1:20" x14ac:dyDescent="0.3">
      <c r="A30" t="s">
        <v>71</v>
      </c>
      <c r="B30" s="2">
        <v>45738</v>
      </c>
      <c r="C30" t="s">
        <v>49</v>
      </c>
      <c r="D30" t="s">
        <v>39</v>
      </c>
      <c r="E30" t="s">
        <v>23</v>
      </c>
      <c r="F30" t="s">
        <v>37</v>
      </c>
      <c r="G30">
        <v>10</v>
      </c>
      <c r="H30">
        <v>32985</v>
      </c>
      <c r="I30">
        <v>21100</v>
      </c>
      <c r="J30">
        <v>329850</v>
      </c>
      <c r="K30">
        <v>211000</v>
      </c>
      <c r="L30">
        <v>30135</v>
      </c>
      <c r="M30">
        <v>5000</v>
      </c>
      <c r="N30">
        <v>3000</v>
      </c>
      <c r="O30">
        <v>249135</v>
      </c>
      <c r="P30">
        <v>80715</v>
      </c>
      <c r="Q30">
        <v>2025</v>
      </c>
      <c r="R30">
        <v>3</v>
      </c>
      <c r="S30" t="s">
        <v>66</v>
      </c>
      <c r="T30">
        <v>24.47</v>
      </c>
    </row>
    <row r="31" spans="1:20" x14ac:dyDescent="0.3">
      <c r="A31" t="s">
        <v>72</v>
      </c>
      <c r="B31" s="2">
        <v>45741</v>
      </c>
      <c r="C31" t="s">
        <v>49</v>
      </c>
      <c r="D31" t="s">
        <v>28</v>
      </c>
      <c r="E31" t="s">
        <v>29</v>
      </c>
      <c r="F31" t="s">
        <v>42</v>
      </c>
      <c r="G31">
        <v>11</v>
      </c>
      <c r="H31">
        <v>163696</v>
      </c>
      <c r="I31">
        <v>132181</v>
      </c>
      <c r="J31">
        <v>1800656</v>
      </c>
      <c r="K31">
        <v>1453991</v>
      </c>
      <c r="L31">
        <v>23214</v>
      </c>
      <c r="M31">
        <v>10000</v>
      </c>
      <c r="N31">
        <v>3000</v>
      </c>
      <c r="O31">
        <v>1490205</v>
      </c>
      <c r="P31">
        <v>310451</v>
      </c>
      <c r="Q31">
        <v>2025</v>
      </c>
      <c r="R31">
        <v>3</v>
      </c>
      <c r="S31" t="s">
        <v>66</v>
      </c>
      <c r="T31">
        <v>17.239999999999998</v>
      </c>
    </row>
    <row r="32" spans="1:20" x14ac:dyDescent="0.3">
      <c r="A32" t="s">
        <v>73</v>
      </c>
      <c r="B32" s="2">
        <v>45741</v>
      </c>
      <c r="C32" t="s">
        <v>21</v>
      </c>
      <c r="D32" t="s">
        <v>39</v>
      </c>
      <c r="E32" t="s">
        <v>23</v>
      </c>
      <c r="F32" t="s">
        <v>42</v>
      </c>
      <c r="G32">
        <v>15</v>
      </c>
      <c r="H32">
        <v>33230</v>
      </c>
      <c r="I32">
        <v>22185</v>
      </c>
      <c r="J32">
        <v>498450</v>
      </c>
      <c r="K32">
        <v>332775</v>
      </c>
      <c r="L32">
        <v>34859</v>
      </c>
      <c r="M32">
        <v>15000</v>
      </c>
      <c r="N32">
        <v>3000</v>
      </c>
      <c r="O32">
        <v>385634</v>
      </c>
      <c r="P32">
        <v>112816</v>
      </c>
      <c r="Q32">
        <v>2025</v>
      </c>
      <c r="R32">
        <v>3</v>
      </c>
      <c r="S32" t="s">
        <v>66</v>
      </c>
      <c r="T32">
        <v>22.63</v>
      </c>
    </row>
    <row r="33" spans="1:20" x14ac:dyDescent="0.3">
      <c r="A33" t="s">
        <v>74</v>
      </c>
      <c r="B33" s="2">
        <v>45743</v>
      </c>
      <c r="C33" t="s">
        <v>34</v>
      </c>
      <c r="D33" t="s">
        <v>58</v>
      </c>
      <c r="E33" t="s">
        <v>29</v>
      </c>
      <c r="F33" t="s">
        <v>37</v>
      </c>
      <c r="G33">
        <v>8</v>
      </c>
      <c r="H33">
        <v>238097</v>
      </c>
      <c r="I33">
        <v>169086</v>
      </c>
      <c r="J33">
        <v>1904776</v>
      </c>
      <c r="K33">
        <v>1352688</v>
      </c>
      <c r="L33">
        <v>24169</v>
      </c>
      <c r="M33">
        <v>0</v>
      </c>
      <c r="N33">
        <v>3000</v>
      </c>
      <c r="O33">
        <v>1379857</v>
      </c>
      <c r="P33">
        <v>524919</v>
      </c>
      <c r="Q33">
        <v>2025</v>
      </c>
      <c r="R33">
        <v>3</v>
      </c>
      <c r="S33" t="s">
        <v>66</v>
      </c>
      <c r="T33">
        <v>27.56</v>
      </c>
    </row>
    <row r="34" spans="1:20" x14ac:dyDescent="0.3">
      <c r="A34" t="s">
        <v>75</v>
      </c>
      <c r="B34" s="2">
        <v>45744</v>
      </c>
      <c r="C34" t="s">
        <v>32</v>
      </c>
      <c r="D34" t="s">
        <v>28</v>
      </c>
      <c r="E34" t="s">
        <v>29</v>
      </c>
      <c r="F34" t="s">
        <v>45</v>
      </c>
      <c r="G34">
        <v>7</v>
      </c>
      <c r="H34">
        <v>174291</v>
      </c>
      <c r="I34">
        <v>128197</v>
      </c>
      <c r="J34">
        <v>1220037</v>
      </c>
      <c r="K34">
        <v>897379</v>
      </c>
      <c r="L34">
        <v>11484</v>
      </c>
      <c r="M34">
        <v>20000</v>
      </c>
      <c r="N34">
        <v>2000</v>
      </c>
      <c r="O34">
        <v>930863</v>
      </c>
      <c r="P34">
        <v>289174</v>
      </c>
      <c r="Q34">
        <v>2025</v>
      </c>
      <c r="R34">
        <v>3</v>
      </c>
      <c r="S34" t="s">
        <v>66</v>
      </c>
      <c r="T34">
        <v>23.7</v>
      </c>
    </row>
    <row r="35" spans="1:20" x14ac:dyDescent="0.3">
      <c r="A35" t="s">
        <v>76</v>
      </c>
      <c r="B35" s="2">
        <v>45744</v>
      </c>
      <c r="C35" t="s">
        <v>21</v>
      </c>
      <c r="D35" t="s">
        <v>39</v>
      </c>
      <c r="E35" t="s">
        <v>23</v>
      </c>
      <c r="F35" t="s">
        <v>42</v>
      </c>
      <c r="G35">
        <v>1</v>
      </c>
      <c r="H35">
        <v>32749</v>
      </c>
      <c r="I35">
        <v>20961</v>
      </c>
      <c r="J35">
        <v>32749</v>
      </c>
      <c r="K35">
        <v>20961</v>
      </c>
      <c r="L35">
        <v>24248</v>
      </c>
      <c r="M35">
        <v>20000</v>
      </c>
      <c r="N35">
        <v>10000</v>
      </c>
      <c r="O35">
        <v>75209</v>
      </c>
      <c r="P35">
        <v>-42460</v>
      </c>
      <c r="Q35">
        <v>2025</v>
      </c>
      <c r="R35">
        <v>3</v>
      </c>
      <c r="S35" t="s">
        <v>66</v>
      </c>
      <c r="T35">
        <v>-129.65</v>
      </c>
    </row>
    <row r="36" spans="1:20" x14ac:dyDescent="0.3">
      <c r="A36" t="s">
        <v>77</v>
      </c>
      <c r="B36" s="2">
        <v>45745</v>
      </c>
      <c r="C36" t="s">
        <v>49</v>
      </c>
      <c r="D36" t="s">
        <v>35</v>
      </c>
      <c r="E36" t="s">
        <v>36</v>
      </c>
      <c r="F36" t="s">
        <v>42</v>
      </c>
      <c r="G36">
        <v>2</v>
      </c>
      <c r="H36">
        <v>494136</v>
      </c>
      <c r="I36">
        <v>386487</v>
      </c>
      <c r="J36">
        <v>988272</v>
      </c>
      <c r="K36">
        <v>772974</v>
      </c>
      <c r="L36">
        <v>11579</v>
      </c>
      <c r="M36">
        <v>20000</v>
      </c>
      <c r="N36">
        <v>2000</v>
      </c>
      <c r="O36">
        <v>806553</v>
      </c>
      <c r="P36">
        <v>181719</v>
      </c>
      <c r="Q36">
        <v>2025</v>
      </c>
      <c r="R36">
        <v>3</v>
      </c>
      <c r="S36" t="s">
        <v>66</v>
      </c>
      <c r="T36">
        <v>18.39</v>
      </c>
    </row>
    <row r="37" spans="1:20" x14ac:dyDescent="0.3">
      <c r="A37" t="s">
        <v>78</v>
      </c>
      <c r="B37" s="2">
        <v>45748</v>
      </c>
      <c r="C37" t="s">
        <v>34</v>
      </c>
      <c r="D37" t="s">
        <v>28</v>
      </c>
      <c r="E37" t="s">
        <v>29</v>
      </c>
      <c r="F37" t="s">
        <v>37</v>
      </c>
      <c r="G37">
        <v>6</v>
      </c>
      <c r="H37">
        <v>160073</v>
      </c>
      <c r="I37">
        <v>134547</v>
      </c>
      <c r="J37">
        <v>960438</v>
      </c>
      <c r="K37">
        <v>807282</v>
      </c>
      <c r="L37">
        <v>27328</v>
      </c>
      <c r="M37">
        <v>0</v>
      </c>
      <c r="N37">
        <v>10000</v>
      </c>
      <c r="O37">
        <v>844610</v>
      </c>
      <c r="P37">
        <v>115828</v>
      </c>
      <c r="Q37">
        <v>2025</v>
      </c>
      <c r="R37">
        <v>4</v>
      </c>
      <c r="S37" t="s">
        <v>79</v>
      </c>
      <c r="T37">
        <v>12.06</v>
      </c>
    </row>
    <row r="38" spans="1:20" x14ac:dyDescent="0.3">
      <c r="A38" t="s">
        <v>80</v>
      </c>
      <c r="B38" s="2">
        <v>45753</v>
      </c>
      <c r="C38" t="s">
        <v>21</v>
      </c>
      <c r="D38" t="s">
        <v>39</v>
      </c>
      <c r="E38" t="s">
        <v>23</v>
      </c>
      <c r="F38" t="s">
        <v>24</v>
      </c>
      <c r="G38">
        <v>10</v>
      </c>
      <c r="H38">
        <v>36013</v>
      </c>
      <c r="I38">
        <v>20306</v>
      </c>
      <c r="J38">
        <v>360130</v>
      </c>
      <c r="K38">
        <v>203060</v>
      </c>
      <c r="L38">
        <v>33231</v>
      </c>
      <c r="M38">
        <v>20000</v>
      </c>
      <c r="N38">
        <v>10000</v>
      </c>
      <c r="O38">
        <v>266291</v>
      </c>
      <c r="P38">
        <v>93839</v>
      </c>
      <c r="Q38">
        <v>2025</v>
      </c>
      <c r="R38">
        <v>4</v>
      </c>
      <c r="S38" t="s">
        <v>79</v>
      </c>
      <c r="T38">
        <v>26.06</v>
      </c>
    </row>
    <row r="39" spans="1:20" x14ac:dyDescent="0.3">
      <c r="A39" t="s">
        <v>81</v>
      </c>
      <c r="B39" s="2">
        <v>45755</v>
      </c>
      <c r="C39" t="s">
        <v>49</v>
      </c>
      <c r="D39" t="s">
        <v>28</v>
      </c>
      <c r="E39" t="s">
        <v>29</v>
      </c>
      <c r="F39" t="s">
        <v>40</v>
      </c>
      <c r="G39">
        <v>6</v>
      </c>
      <c r="H39">
        <v>169224</v>
      </c>
      <c r="I39">
        <v>128853</v>
      </c>
      <c r="J39">
        <v>1015344</v>
      </c>
      <c r="K39">
        <v>773118</v>
      </c>
      <c r="L39">
        <v>12501</v>
      </c>
      <c r="M39">
        <v>15000</v>
      </c>
      <c r="N39">
        <v>2000</v>
      </c>
      <c r="O39">
        <v>802619</v>
      </c>
      <c r="P39">
        <v>212725</v>
      </c>
      <c r="Q39">
        <v>2025</v>
      </c>
      <c r="R39">
        <v>4</v>
      </c>
      <c r="S39" t="s">
        <v>79</v>
      </c>
      <c r="T39">
        <v>20.95</v>
      </c>
    </row>
    <row r="40" spans="1:20" x14ac:dyDescent="0.3">
      <c r="A40" t="s">
        <v>82</v>
      </c>
      <c r="B40" s="2">
        <v>45757</v>
      </c>
      <c r="C40" t="s">
        <v>32</v>
      </c>
      <c r="D40" t="s">
        <v>58</v>
      </c>
      <c r="E40" t="s">
        <v>29</v>
      </c>
      <c r="F40" t="s">
        <v>42</v>
      </c>
      <c r="G40">
        <v>3</v>
      </c>
      <c r="H40">
        <v>224339</v>
      </c>
      <c r="I40">
        <v>173392</v>
      </c>
      <c r="J40">
        <v>673017</v>
      </c>
      <c r="K40">
        <v>520176</v>
      </c>
      <c r="L40">
        <v>36689</v>
      </c>
      <c r="M40">
        <v>20000</v>
      </c>
      <c r="N40">
        <v>8000</v>
      </c>
      <c r="O40">
        <v>584865</v>
      </c>
      <c r="P40">
        <v>88152</v>
      </c>
      <c r="Q40">
        <v>2025</v>
      </c>
      <c r="R40">
        <v>4</v>
      </c>
      <c r="S40" t="s">
        <v>79</v>
      </c>
      <c r="T40">
        <v>13.1</v>
      </c>
    </row>
    <row r="41" spans="1:20" x14ac:dyDescent="0.3">
      <c r="A41" t="s">
        <v>83</v>
      </c>
      <c r="B41" s="2">
        <v>45758</v>
      </c>
      <c r="C41" t="s">
        <v>27</v>
      </c>
      <c r="D41" t="s">
        <v>22</v>
      </c>
      <c r="E41" t="s">
        <v>23</v>
      </c>
      <c r="F41" t="s">
        <v>40</v>
      </c>
      <c r="G41">
        <v>8</v>
      </c>
      <c r="H41">
        <v>24082</v>
      </c>
      <c r="I41">
        <v>13761</v>
      </c>
      <c r="J41">
        <v>192656</v>
      </c>
      <c r="K41">
        <v>110088</v>
      </c>
      <c r="L41">
        <v>5948</v>
      </c>
      <c r="M41">
        <v>0</v>
      </c>
      <c r="N41">
        <v>5000</v>
      </c>
      <c r="O41">
        <v>121036</v>
      </c>
      <c r="P41">
        <v>71620</v>
      </c>
      <c r="Q41">
        <v>2025</v>
      </c>
      <c r="R41">
        <v>4</v>
      </c>
      <c r="S41" t="s">
        <v>79</v>
      </c>
      <c r="T41">
        <v>37.18</v>
      </c>
    </row>
    <row r="42" spans="1:20" x14ac:dyDescent="0.3">
      <c r="A42" t="s">
        <v>84</v>
      </c>
      <c r="B42" s="2">
        <v>45763</v>
      </c>
      <c r="C42" t="s">
        <v>34</v>
      </c>
      <c r="D42" t="s">
        <v>35</v>
      </c>
      <c r="E42" t="s">
        <v>36</v>
      </c>
      <c r="F42" t="s">
        <v>45</v>
      </c>
      <c r="G42">
        <v>11</v>
      </c>
      <c r="H42">
        <v>474600</v>
      </c>
      <c r="I42">
        <v>389630</v>
      </c>
      <c r="J42">
        <v>5220600</v>
      </c>
      <c r="K42">
        <v>4285930</v>
      </c>
      <c r="L42">
        <v>35645</v>
      </c>
      <c r="M42">
        <v>15000</v>
      </c>
      <c r="N42">
        <v>3000</v>
      </c>
      <c r="O42">
        <v>4339575</v>
      </c>
      <c r="P42">
        <v>881025</v>
      </c>
      <c r="Q42">
        <v>2025</v>
      </c>
      <c r="R42">
        <v>4</v>
      </c>
      <c r="S42" t="s">
        <v>79</v>
      </c>
      <c r="T42">
        <v>16.88</v>
      </c>
    </row>
    <row r="43" spans="1:20" x14ac:dyDescent="0.3">
      <c r="A43" t="s">
        <v>85</v>
      </c>
      <c r="B43" s="2">
        <v>45763</v>
      </c>
      <c r="C43" t="s">
        <v>34</v>
      </c>
      <c r="D43" t="s">
        <v>58</v>
      </c>
      <c r="E43" t="s">
        <v>29</v>
      </c>
      <c r="F43" t="s">
        <v>45</v>
      </c>
      <c r="G43">
        <v>4</v>
      </c>
      <c r="H43">
        <v>215229</v>
      </c>
      <c r="I43">
        <v>169193</v>
      </c>
      <c r="J43">
        <v>860916</v>
      </c>
      <c r="K43">
        <v>676772</v>
      </c>
      <c r="L43">
        <v>37344</v>
      </c>
      <c r="M43">
        <v>0</v>
      </c>
      <c r="N43">
        <v>3000</v>
      </c>
      <c r="O43">
        <v>717116</v>
      </c>
      <c r="P43">
        <v>143800</v>
      </c>
      <c r="Q43">
        <v>2025</v>
      </c>
      <c r="R43">
        <v>4</v>
      </c>
      <c r="S43" t="s">
        <v>79</v>
      </c>
      <c r="T43">
        <v>16.7</v>
      </c>
    </row>
    <row r="44" spans="1:20" x14ac:dyDescent="0.3">
      <c r="A44" t="s">
        <v>86</v>
      </c>
      <c r="B44" s="2">
        <v>45768</v>
      </c>
      <c r="C44" t="s">
        <v>27</v>
      </c>
      <c r="D44" t="s">
        <v>56</v>
      </c>
      <c r="E44" t="s">
        <v>36</v>
      </c>
      <c r="F44" t="s">
        <v>30</v>
      </c>
      <c r="G44">
        <v>14</v>
      </c>
      <c r="H44">
        <v>150884</v>
      </c>
      <c r="I44">
        <v>102055</v>
      </c>
      <c r="J44">
        <v>2112376</v>
      </c>
      <c r="K44">
        <v>1428770</v>
      </c>
      <c r="L44">
        <v>20083</v>
      </c>
      <c r="M44">
        <v>10000</v>
      </c>
      <c r="N44">
        <v>5000</v>
      </c>
      <c r="O44">
        <v>1463853</v>
      </c>
      <c r="P44">
        <v>648523</v>
      </c>
      <c r="Q44">
        <v>2025</v>
      </c>
      <c r="R44">
        <v>4</v>
      </c>
      <c r="S44" t="s">
        <v>79</v>
      </c>
      <c r="T44">
        <v>30.7</v>
      </c>
    </row>
    <row r="45" spans="1:20" x14ac:dyDescent="0.3">
      <c r="A45" t="s">
        <v>87</v>
      </c>
      <c r="B45" s="2">
        <v>45770</v>
      </c>
      <c r="C45" t="s">
        <v>32</v>
      </c>
      <c r="D45" t="s">
        <v>56</v>
      </c>
      <c r="E45" t="s">
        <v>36</v>
      </c>
      <c r="F45" t="s">
        <v>37</v>
      </c>
      <c r="G45">
        <v>5</v>
      </c>
      <c r="H45">
        <v>148268</v>
      </c>
      <c r="I45">
        <v>108127</v>
      </c>
      <c r="J45">
        <v>741340</v>
      </c>
      <c r="K45">
        <v>540635</v>
      </c>
      <c r="L45">
        <v>34431</v>
      </c>
      <c r="M45">
        <v>0</v>
      </c>
      <c r="N45">
        <v>10000</v>
      </c>
      <c r="O45">
        <v>585066</v>
      </c>
      <c r="P45">
        <v>156274</v>
      </c>
      <c r="Q45">
        <v>2025</v>
      </c>
      <c r="R45">
        <v>4</v>
      </c>
      <c r="S45" t="s">
        <v>79</v>
      </c>
      <c r="T45">
        <v>21.08</v>
      </c>
    </row>
    <row r="46" spans="1:20" x14ac:dyDescent="0.3">
      <c r="A46" t="s">
        <v>88</v>
      </c>
      <c r="B46" s="2">
        <v>45772</v>
      </c>
      <c r="C46" t="s">
        <v>34</v>
      </c>
      <c r="D46" t="s">
        <v>35</v>
      </c>
      <c r="E46" t="s">
        <v>36</v>
      </c>
      <c r="F46" t="s">
        <v>42</v>
      </c>
      <c r="G46">
        <v>4</v>
      </c>
      <c r="H46">
        <v>469696</v>
      </c>
      <c r="I46">
        <v>402095</v>
      </c>
      <c r="J46">
        <v>1878784</v>
      </c>
      <c r="K46">
        <v>1608380</v>
      </c>
      <c r="L46">
        <v>33968</v>
      </c>
      <c r="M46">
        <v>20000</v>
      </c>
      <c r="N46">
        <v>2000</v>
      </c>
      <c r="O46">
        <v>1664348</v>
      </c>
      <c r="P46">
        <v>214436</v>
      </c>
      <c r="Q46">
        <v>2025</v>
      </c>
      <c r="R46">
        <v>4</v>
      </c>
      <c r="S46" t="s">
        <v>79</v>
      </c>
      <c r="T46">
        <v>11.41</v>
      </c>
    </row>
    <row r="47" spans="1:20" x14ac:dyDescent="0.3">
      <c r="A47" t="s">
        <v>89</v>
      </c>
      <c r="B47" s="2">
        <v>45774</v>
      </c>
      <c r="C47" t="s">
        <v>49</v>
      </c>
      <c r="D47" t="s">
        <v>28</v>
      </c>
      <c r="E47" t="s">
        <v>29</v>
      </c>
      <c r="F47" t="s">
        <v>40</v>
      </c>
      <c r="G47">
        <v>2</v>
      </c>
      <c r="H47">
        <v>160467</v>
      </c>
      <c r="I47">
        <v>133202</v>
      </c>
      <c r="J47">
        <v>320934</v>
      </c>
      <c r="K47">
        <v>266404</v>
      </c>
      <c r="L47">
        <v>26181</v>
      </c>
      <c r="M47">
        <v>20000</v>
      </c>
      <c r="N47">
        <v>5000</v>
      </c>
      <c r="O47">
        <v>317585</v>
      </c>
      <c r="P47">
        <v>3349</v>
      </c>
      <c r="Q47">
        <v>2025</v>
      </c>
      <c r="R47">
        <v>4</v>
      </c>
      <c r="S47" t="s">
        <v>79</v>
      </c>
      <c r="T47">
        <v>1.04</v>
      </c>
    </row>
    <row r="48" spans="1:20" x14ac:dyDescent="0.3">
      <c r="A48" t="s">
        <v>90</v>
      </c>
      <c r="B48" s="2">
        <v>45778</v>
      </c>
      <c r="C48" t="s">
        <v>21</v>
      </c>
      <c r="D48" t="s">
        <v>22</v>
      </c>
      <c r="E48" t="s">
        <v>23</v>
      </c>
      <c r="F48" t="s">
        <v>37</v>
      </c>
      <c r="G48">
        <v>8</v>
      </c>
      <c r="H48">
        <v>25694</v>
      </c>
      <c r="I48">
        <v>13749</v>
      </c>
      <c r="J48">
        <v>205552</v>
      </c>
      <c r="K48">
        <v>109992</v>
      </c>
      <c r="L48">
        <v>35142</v>
      </c>
      <c r="M48">
        <v>10000</v>
      </c>
      <c r="N48">
        <v>8000</v>
      </c>
      <c r="O48">
        <v>163134</v>
      </c>
      <c r="P48">
        <v>42418</v>
      </c>
      <c r="Q48">
        <v>2025</v>
      </c>
      <c r="R48">
        <v>5</v>
      </c>
      <c r="S48" t="s">
        <v>91</v>
      </c>
      <c r="T48">
        <v>20.64</v>
      </c>
    </row>
    <row r="49" spans="1:20" x14ac:dyDescent="0.3">
      <c r="A49" t="s">
        <v>92</v>
      </c>
      <c r="B49" s="2">
        <v>45783</v>
      </c>
      <c r="C49" t="s">
        <v>27</v>
      </c>
      <c r="D49" t="s">
        <v>58</v>
      </c>
      <c r="E49" t="s">
        <v>29</v>
      </c>
      <c r="F49" t="s">
        <v>45</v>
      </c>
      <c r="G49">
        <v>8</v>
      </c>
      <c r="H49">
        <v>231401</v>
      </c>
      <c r="I49">
        <v>179982</v>
      </c>
      <c r="J49">
        <v>1851208</v>
      </c>
      <c r="K49">
        <v>1439856</v>
      </c>
      <c r="L49">
        <v>7876</v>
      </c>
      <c r="M49">
        <v>10000</v>
      </c>
      <c r="N49">
        <v>5000</v>
      </c>
      <c r="O49">
        <v>1462732</v>
      </c>
      <c r="P49">
        <v>388476</v>
      </c>
      <c r="Q49">
        <v>2025</v>
      </c>
      <c r="R49">
        <v>5</v>
      </c>
      <c r="S49" t="s">
        <v>91</v>
      </c>
      <c r="T49">
        <v>20.99</v>
      </c>
    </row>
    <row r="50" spans="1:20" x14ac:dyDescent="0.3">
      <c r="A50" t="s">
        <v>93</v>
      </c>
      <c r="B50" s="2">
        <v>45784</v>
      </c>
      <c r="C50" t="s">
        <v>34</v>
      </c>
      <c r="D50" t="s">
        <v>56</v>
      </c>
      <c r="E50" t="s">
        <v>36</v>
      </c>
      <c r="F50" t="s">
        <v>45</v>
      </c>
      <c r="G50">
        <v>11</v>
      </c>
      <c r="H50">
        <v>145758</v>
      </c>
      <c r="I50">
        <v>102778</v>
      </c>
      <c r="J50">
        <v>1603338</v>
      </c>
      <c r="K50">
        <v>1130558</v>
      </c>
      <c r="L50">
        <v>21856</v>
      </c>
      <c r="M50">
        <v>10000</v>
      </c>
      <c r="N50">
        <v>2000</v>
      </c>
      <c r="O50">
        <v>1164414</v>
      </c>
      <c r="P50">
        <v>438924</v>
      </c>
      <c r="Q50">
        <v>2025</v>
      </c>
      <c r="R50">
        <v>5</v>
      </c>
      <c r="S50" t="s">
        <v>91</v>
      </c>
      <c r="T50">
        <v>27.38</v>
      </c>
    </row>
    <row r="51" spans="1:20" x14ac:dyDescent="0.3">
      <c r="A51" t="s">
        <v>94</v>
      </c>
      <c r="B51" s="2">
        <v>45787</v>
      </c>
      <c r="C51" t="s">
        <v>49</v>
      </c>
      <c r="D51" t="s">
        <v>22</v>
      </c>
      <c r="E51" t="s">
        <v>23</v>
      </c>
      <c r="F51" t="s">
        <v>24</v>
      </c>
      <c r="G51">
        <v>2</v>
      </c>
      <c r="H51">
        <v>24165</v>
      </c>
      <c r="I51">
        <v>14184</v>
      </c>
      <c r="J51">
        <v>48330</v>
      </c>
      <c r="K51">
        <v>28368</v>
      </c>
      <c r="L51">
        <v>25476</v>
      </c>
      <c r="M51">
        <v>15000</v>
      </c>
      <c r="N51">
        <v>8000</v>
      </c>
      <c r="O51">
        <v>76844</v>
      </c>
      <c r="P51">
        <v>-28514</v>
      </c>
      <c r="Q51">
        <v>2025</v>
      </c>
      <c r="R51">
        <v>5</v>
      </c>
      <c r="S51" t="s">
        <v>91</v>
      </c>
      <c r="T51">
        <v>-59</v>
      </c>
    </row>
    <row r="52" spans="1:20" x14ac:dyDescent="0.3">
      <c r="A52" t="s">
        <v>95</v>
      </c>
      <c r="B52" s="2">
        <v>45787</v>
      </c>
      <c r="C52" t="s">
        <v>32</v>
      </c>
      <c r="D52" t="s">
        <v>39</v>
      </c>
      <c r="E52" t="s">
        <v>23</v>
      </c>
      <c r="F52" t="s">
        <v>37</v>
      </c>
      <c r="G52">
        <v>6</v>
      </c>
      <c r="H52">
        <v>34932</v>
      </c>
      <c r="I52">
        <v>21969</v>
      </c>
      <c r="J52">
        <v>209592</v>
      </c>
      <c r="K52">
        <v>131814</v>
      </c>
      <c r="L52">
        <v>24284</v>
      </c>
      <c r="M52">
        <v>0</v>
      </c>
      <c r="N52">
        <v>10000</v>
      </c>
      <c r="O52">
        <v>166098</v>
      </c>
      <c r="P52">
        <v>43494</v>
      </c>
      <c r="Q52">
        <v>2025</v>
      </c>
      <c r="R52">
        <v>5</v>
      </c>
      <c r="S52" t="s">
        <v>91</v>
      </c>
      <c r="T52">
        <v>20.75</v>
      </c>
    </row>
    <row r="53" spans="1:20" x14ac:dyDescent="0.3">
      <c r="A53" t="s">
        <v>96</v>
      </c>
      <c r="B53" s="2">
        <v>45788</v>
      </c>
      <c r="C53" t="s">
        <v>32</v>
      </c>
      <c r="D53" t="s">
        <v>39</v>
      </c>
      <c r="E53" t="s">
        <v>23</v>
      </c>
      <c r="F53" t="s">
        <v>45</v>
      </c>
      <c r="G53">
        <v>1</v>
      </c>
      <c r="H53">
        <v>35103</v>
      </c>
      <c r="I53">
        <v>21317</v>
      </c>
      <c r="J53">
        <v>35103</v>
      </c>
      <c r="K53">
        <v>21317</v>
      </c>
      <c r="L53">
        <v>33406</v>
      </c>
      <c r="M53">
        <v>0</v>
      </c>
      <c r="N53">
        <v>2000</v>
      </c>
      <c r="O53">
        <v>56723</v>
      </c>
      <c r="P53">
        <v>-21620</v>
      </c>
      <c r="Q53">
        <v>2025</v>
      </c>
      <c r="R53">
        <v>5</v>
      </c>
      <c r="S53" t="s">
        <v>91</v>
      </c>
      <c r="T53">
        <v>-61.59</v>
      </c>
    </row>
    <row r="54" spans="1:20" x14ac:dyDescent="0.3">
      <c r="A54" t="s">
        <v>97</v>
      </c>
      <c r="B54" s="2">
        <v>45795</v>
      </c>
      <c r="C54" t="s">
        <v>49</v>
      </c>
      <c r="D54" t="s">
        <v>39</v>
      </c>
      <c r="E54" t="s">
        <v>23</v>
      </c>
      <c r="F54" t="s">
        <v>45</v>
      </c>
      <c r="G54">
        <v>5</v>
      </c>
      <c r="H54">
        <v>30799</v>
      </c>
      <c r="I54">
        <v>20210</v>
      </c>
      <c r="J54">
        <v>153995</v>
      </c>
      <c r="K54">
        <v>101050</v>
      </c>
      <c r="L54">
        <v>12905</v>
      </c>
      <c r="M54">
        <v>15000</v>
      </c>
      <c r="N54">
        <v>5000</v>
      </c>
      <c r="O54">
        <v>133955</v>
      </c>
      <c r="P54">
        <v>20040</v>
      </c>
      <c r="Q54">
        <v>2025</v>
      </c>
      <c r="R54">
        <v>5</v>
      </c>
      <c r="S54" t="s">
        <v>91</v>
      </c>
      <c r="T54">
        <v>13.01</v>
      </c>
    </row>
    <row r="55" spans="1:20" x14ac:dyDescent="0.3">
      <c r="A55" t="s">
        <v>98</v>
      </c>
      <c r="B55" s="2">
        <v>45798</v>
      </c>
      <c r="C55" t="s">
        <v>32</v>
      </c>
      <c r="D55" t="s">
        <v>35</v>
      </c>
      <c r="E55" t="s">
        <v>36</v>
      </c>
      <c r="F55" t="s">
        <v>24</v>
      </c>
      <c r="G55">
        <v>15</v>
      </c>
      <c r="H55">
        <v>470280</v>
      </c>
      <c r="I55">
        <v>398509</v>
      </c>
      <c r="J55">
        <v>7054200</v>
      </c>
      <c r="K55">
        <v>5977635</v>
      </c>
      <c r="L55">
        <v>25734</v>
      </c>
      <c r="M55">
        <v>15000</v>
      </c>
      <c r="N55">
        <v>3000</v>
      </c>
      <c r="O55">
        <v>6021369</v>
      </c>
      <c r="P55">
        <v>1032831</v>
      </c>
      <c r="Q55">
        <v>2025</v>
      </c>
      <c r="R55">
        <v>5</v>
      </c>
      <c r="S55" t="s">
        <v>91</v>
      </c>
      <c r="T55">
        <v>14.64</v>
      </c>
    </row>
    <row r="56" spans="1:20" x14ac:dyDescent="0.3">
      <c r="A56" t="s">
        <v>99</v>
      </c>
      <c r="B56" s="2">
        <v>45799</v>
      </c>
      <c r="C56" t="s">
        <v>21</v>
      </c>
      <c r="D56" t="s">
        <v>39</v>
      </c>
      <c r="E56" t="s">
        <v>23</v>
      </c>
      <c r="F56" t="s">
        <v>30</v>
      </c>
      <c r="G56">
        <v>9</v>
      </c>
      <c r="H56">
        <v>33113</v>
      </c>
      <c r="I56">
        <v>21480</v>
      </c>
      <c r="J56">
        <v>298017</v>
      </c>
      <c r="K56">
        <v>193320</v>
      </c>
      <c r="L56">
        <v>27772</v>
      </c>
      <c r="M56">
        <v>15000</v>
      </c>
      <c r="N56">
        <v>5000</v>
      </c>
      <c r="O56">
        <v>241092</v>
      </c>
      <c r="P56">
        <v>56925</v>
      </c>
      <c r="Q56">
        <v>2025</v>
      </c>
      <c r="R56">
        <v>5</v>
      </c>
      <c r="S56" t="s">
        <v>91</v>
      </c>
      <c r="T56">
        <v>19.100000000000001</v>
      </c>
    </row>
    <row r="57" spans="1:20" x14ac:dyDescent="0.3">
      <c r="A57" t="s">
        <v>100</v>
      </c>
      <c r="B57" s="2">
        <v>45799</v>
      </c>
      <c r="C57" t="s">
        <v>27</v>
      </c>
      <c r="D57" t="s">
        <v>28</v>
      </c>
      <c r="E57" t="s">
        <v>29</v>
      </c>
      <c r="F57" t="s">
        <v>24</v>
      </c>
      <c r="G57">
        <v>11</v>
      </c>
      <c r="H57">
        <v>181311</v>
      </c>
      <c r="I57">
        <v>128808</v>
      </c>
      <c r="J57">
        <v>1994421</v>
      </c>
      <c r="K57">
        <v>1416888</v>
      </c>
      <c r="L57">
        <v>8361</v>
      </c>
      <c r="M57">
        <v>20000</v>
      </c>
      <c r="N57">
        <v>2000</v>
      </c>
      <c r="O57">
        <v>1447249</v>
      </c>
      <c r="P57">
        <v>547172</v>
      </c>
      <c r="Q57">
        <v>2025</v>
      </c>
      <c r="R57">
        <v>5</v>
      </c>
      <c r="S57" t="s">
        <v>91</v>
      </c>
      <c r="T57">
        <v>27.44</v>
      </c>
    </row>
    <row r="58" spans="1:20" x14ac:dyDescent="0.3">
      <c r="A58" t="s">
        <v>101</v>
      </c>
      <c r="B58" s="2">
        <v>45799</v>
      </c>
      <c r="C58" t="s">
        <v>21</v>
      </c>
      <c r="D58" t="s">
        <v>58</v>
      </c>
      <c r="E58" t="s">
        <v>29</v>
      </c>
      <c r="F58" t="s">
        <v>24</v>
      </c>
      <c r="G58">
        <v>7</v>
      </c>
      <c r="H58">
        <v>238960</v>
      </c>
      <c r="I58">
        <v>179849</v>
      </c>
      <c r="J58">
        <v>1672720</v>
      </c>
      <c r="K58">
        <v>1258943</v>
      </c>
      <c r="L58">
        <v>8880</v>
      </c>
      <c r="M58">
        <v>15000</v>
      </c>
      <c r="N58">
        <v>8000</v>
      </c>
      <c r="O58">
        <v>1290823</v>
      </c>
      <c r="P58">
        <v>381897</v>
      </c>
      <c r="Q58">
        <v>2025</v>
      </c>
      <c r="R58">
        <v>5</v>
      </c>
      <c r="S58" t="s">
        <v>91</v>
      </c>
      <c r="T58">
        <v>22.83</v>
      </c>
    </row>
    <row r="59" spans="1:20" x14ac:dyDescent="0.3">
      <c r="A59" t="s">
        <v>102</v>
      </c>
      <c r="B59" s="2">
        <v>45801</v>
      </c>
      <c r="C59" t="s">
        <v>32</v>
      </c>
      <c r="D59" t="s">
        <v>28</v>
      </c>
      <c r="E59" t="s">
        <v>29</v>
      </c>
      <c r="F59" t="s">
        <v>24</v>
      </c>
      <c r="G59">
        <v>6</v>
      </c>
      <c r="H59">
        <v>162897</v>
      </c>
      <c r="I59">
        <v>137666</v>
      </c>
      <c r="J59">
        <v>977382</v>
      </c>
      <c r="K59">
        <v>825996</v>
      </c>
      <c r="L59">
        <v>36532</v>
      </c>
      <c r="M59">
        <v>10000</v>
      </c>
      <c r="N59">
        <v>10000</v>
      </c>
      <c r="O59">
        <v>882528</v>
      </c>
      <c r="P59">
        <v>94854</v>
      </c>
      <c r="Q59">
        <v>2025</v>
      </c>
      <c r="R59">
        <v>5</v>
      </c>
      <c r="S59" t="s">
        <v>91</v>
      </c>
      <c r="T59">
        <v>9.6999999999999993</v>
      </c>
    </row>
    <row r="60" spans="1:20" x14ac:dyDescent="0.3">
      <c r="A60" t="s">
        <v>103</v>
      </c>
      <c r="B60" s="2">
        <v>45808</v>
      </c>
      <c r="C60" t="s">
        <v>27</v>
      </c>
      <c r="D60" t="s">
        <v>35</v>
      </c>
      <c r="E60" t="s">
        <v>36</v>
      </c>
      <c r="F60" t="s">
        <v>45</v>
      </c>
      <c r="G60">
        <v>4</v>
      </c>
      <c r="H60">
        <v>560431</v>
      </c>
      <c r="I60">
        <v>396724</v>
      </c>
      <c r="J60">
        <v>2241724</v>
      </c>
      <c r="K60">
        <v>1586896</v>
      </c>
      <c r="L60">
        <v>7386</v>
      </c>
      <c r="M60">
        <v>15000</v>
      </c>
      <c r="N60">
        <v>8000</v>
      </c>
      <c r="O60">
        <v>1617282</v>
      </c>
      <c r="P60">
        <v>624442</v>
      </c>
      <c r="Q60">
        <v>2025</v>
      </c>
      <c r="R60">
        <v>5</v>
      </c>
      <c r="S60" t="s">
        <v>91</v>
      </c>
      <c r="T60">
        <v>27.86</v>
      </c>
    </row>
    <row r="61" spans="1:20" x14ac:dyDescent="0.3">
      <c r="A61" t="s">
        <v>104</v>
      </c>
      <c r="B61" s="2">
        <v>45814</v>
      </c>
      <c r="C61" t="s">
        <v>21</v>
      </c>
      <c r="D61" t="s">
        <v>58</v>
      </c>
      <c r="E61" t="s">
        <v>29</v>
      </c>
      <c r="F61" t="s">
        <v>24</v>
      </c>
      <c r="G61">
        <v>8</v>
      </c>
      <c r="H61">
        <v>238170</v>
      </c>
      <c r="I61">
        <v>177106</v>
      </c>
      <c r="J61">
        <v>1905360</v>
      </c>
      <c r="K61">
        <v>1416848</v>
      </c>
      <c r="L61">
        <v>15178</v>
      </c>
      <c r="M61">
        <v>15000</v>
      </c>
      <c r="N61">
        <v>5000</v>
      </c>
      <c r="O61">
        <v>1452026</v>
      </c>
      <c r="P61">
        <v>453334</v>
      </c>
      <c r="Q61">
        <v>2025</v>
      </c>
      <c r="R61">
        <v>6</v>
      </c>
      <c r="S61" t="s">
        <v>105</v>
      </c>
      <c r="T61">
        <v>23.79</v>
      </c>
    </row>
    <row r="62" spans="1:20" x14ac:dyDescent="0.3">
      <c r="A62" t="s">
        <v>106</v>
      </c>
      <c r="B62" s="2">
        <v>45815</v>
      </c>
      <c r="C62" t="s">
        <v>49</v>
      </c>
      <c r="D62" t="s">
        <v>22</v>
      </c>
      <c r="E62" t="s">
        <v>23</v>
      </c>
      <c r="F62" t="s">
        <v>24</v>
      </c>
      <c r="G62">
        <v>6</v>
      </c>
      <c r="H62">
        <v>22570</v>
      </c>
      <c r="I62">
        <v>14475</v>
      </c>
      <c r="J62">
        <v>135420</v>
      </c>
      <c r="K62">
        <v>86850</v>
      </c>
      <c r="L62">
        <v>29758</v>
      </c>
      <c r="M62">
        <v>5000</v>
      </c>
      <c r="N62">
        <v>10000</v>
      </c>
      <c r="O62">
        <v>131608</v>
      </c>
      <c r="P62">
        <v>3812</v>
      </c>
      <c r="Q62">
        <v>2025</v>
      </c>
      <c r="R62">
        <v>6</v>
      </c>
      <c r="S62" t="s">
        <v>105</v>
      </c>
      <c r="T62">
        <v>2.81</v>
      </c>
    </row>
    <row r="63" spans="1:20" x14ac:dyDescent="0.3">
      <c r="A63" t="s">
        <v>107</v>
      </c>
      <c r="B63" s="2">
        <v>45816</v>
      </c>
      <c r="C63" t="s">
        <v>27</v>
      </c>
      <c r="D63" t="s">
        <v>56</v>
      </c>
      <c r="E63" t="s">
        <v>36</v>
      </c>
      <c r="F63" t="s">
        <v>30</v>
      </c>
      <c r="G63">
        <v>14</v>
      </c>
      <c r="H63">
        <v>151276</v>
      </c>
      <c r="I63">
        <v>104464</v>
      </c>
      <c r="J63">
        <v>2117864</v>
      </c>
      <c r="K63">
        <v>1462496</v>
      </c>
      <c r="L63">
        <v>14166</v>
      </c>
      <c r="M63">
        <v>0</v>
      </c>
      <c r="N63">
        <v>5000</v>
      </c>
      <c r="O63">
        <v>1481662</v>
      </c>
      <c r="P63">
        <v>636202</v>
      </c>
      <c r="Q63">
        <v>2025</v>
      </c>
      <c r="R63">
        <v>6</v>
      </c>
      <c r="S63" t="s">
        <v>105</v>
      </c>
      <c r="T63">
        <v>30.04</v>
      </c>
    </row>
    <row r="64" spans="1:20" x14ac:dyDescent="0.3">
      <c r="A64" t="s">
        <v>108</v>
      </c>
      <c r="B64" s="2">
        <v>45820</v>
      </c>
      <c r="C64" t="s">
        <v>34</v>
      </c>
      <c r="D64" t="s">
        <v>28</v>
      </c>
      <c r="E64" t="s">
        <v>29</v>
      </c>
      <c r="F64" t="s">
        <v>45</v>
      </c>
      <c r="G64">
        <v>15</v>
      </c>
      <c r="H64">
        <v>163986</v>
      </c>
      <c r="I64">
        <v>129345</v>
      </c>
      <c r="J64">
        <v>2459790</v>
      </c>
      <c r="K64">
        <v>1940175</v>
      </c>
      <c r="L64">
        <v>20109</v>
      </c>
      <c r="M64">
        <v>20000</v>
      </c>
      <c r="N64">
        <v>2000</v>
      </c>
      <c r="O64">
        <v>1982284</v>
      </c>
      <c r="P64">
        <v>477506</v>
      </c>
      <c r="Q64">
        <v>2025</v>
      </c>
      <c r="R64">
        <v>6</v>
      </c>
      <c r="S64" t="s">
        <v>105</v>
      </c>
      <c r="T64">
        <v>19.41</v>
      </c>
    </row>
    <row r="65" spans="1:20" x14ac:dyDescent="0.3">
      <c r="A65" t="s">
        <v>109</v>
      </c>
      <c r="B65" s="2">
        <v>45824</v>
      </c>
      <c r="C65" t="s">
        <v>49</v>
      </c>
      <c r="D65" t="s">
        <v>58</v>
      </c>
      <c r="E65" t="s">
        <v>29</v>
      </c>
      <c r="F65" t="s">
        <v>30</v>
      </c>
      <c r="G65">
        <v>1</v>
      </c>
      <c r="H65">
        <v>210780</v>
      </c>
      <c r="I65">
        <v>184046</v>
      </c>
      <c r="J65">
        <v>210780</v>
      </c>
      <c r="K65">
        <v>184046</v>
      </c>
      <c r="L65">
        <v>23114</v>
      </c>
      <c r="M65">
        <v>5000</v>
      </c>
      <c r="N65">
        <v>5000</v>
      </c>
      <c r="O65">
        <v>217160</v>
      </c>
      <c r="P65">
        <v>-6380</v>
      </c>
      <c r="Q65">
        <v>2025</v>
      </c>
      <c r="R65">
        <v>6</v>
      </c>
      <c r="S65" t="s">
        <v>105</v>
      </c>
      <c r="T65">
        <v>-3.03</v>
      </c>
    </row>
    <row r="66" spans="1:20" x14ac:dyDescent="0.3">
      <c r="A66" t="s">
        <v>110</v>
      </c>
      <c r="B66" s="2">
        <v>45826</v>
      </c>
      <c r="C66" t="s">
        <v>49</v>
      </c>
      <c r="D66" t="s">
        <v>28</v>
      </c>
      <c r="E66" t="s">
        <v>29</v>
      </c>
      <c r="F66" t="s">
        <v>30</v>
      </c>
      <c r="G66">
        <v>13</v>
      </c>
      <c r="H66">
        <v>160740</v>
      </c>
      <c r="I66">
        <v>135947</v>
      </c>
      <c r="J66">
        <v>2089620</v>
      </c>
      <c r="K66">
        <v>1767311</v>
      </c>
      <c r="L66">
        <v>10966</v>
      </c>
      <c r="M66">
        <v>15000</v>
      </c>
      <c r="N66">
        <v>2000</v>
      </c>
      <c r="O66">
        <v>1795277</v>
      </c>
      <c r="P66">
        <v>294343</v>
      </c>
      <c r="Q66">
        <v>2025</v>
      </c>
      <c r="R66">
        <v>6</v>
      </c>
      <c r="S66" t="s">
        <v>105</v>
      </c>
      <c r="T66">
        <v>14.09</v>
      </c>
    </row>
    <row r="67" spans="1:20" x14ac:dyDescent="0.3">
      <c r="A67" t="s">
        <v>111</v>
      </c>
      <c r="B67" s="2">
        <v>45827</v>
      </c>
      <c r="C67" t="s">
        <v>32</v>
      </c>
      <c r="D67" t="s">
        <v>28</v>
      </c>
      <c r="E67" t="s">
        <v>29</v>
      </c>
      <c r="F67" t="s">
        <v>45</v>
      </c>
      <c r="G67">
        <v>12</v>
      </c>
      <c r="H67">
        <v>178573</v>
      </c>
      <c r="I67">
        <v>136673</v>
      </c>
      <c r="J67">
        <v>2142876</v>
      </c>
      <c r="K67">
        <v>1640076</v>
      </c>
      <c r="L67">
        <v>24238</v>
      </c>
      <c r="M67">
        <v>0</v>
      </c>
      <c r="N67">
        <v>8000</v>
      </c>
      <c r="O67">
        <v>1672314</v>
      </c>
      <c r="P67">
        <v>470562</v>
      </c>
      <c r="Q67">
        <v>2025</v>
      </c>
      <c r="R67">
        <v>6</v>
      </c>
      <c r="S67" t="s">
        <v>105</v>
      </c>
      <c r="T67">
        <v>21.96</v>
      </c>
    </row>
    <row r="68" spans="1:20" x14ac:dyDescent="0.3">
      <c r="A68" t="s">
        <v>112</v>
      </c>
      <c r="B68" s="2">
        <v>45829</v>
      </c>
      <c r="C68" t="s">
        <v>32</v>
      </c>
      <c r="D68" t="s">
        <v>39</v>
      </c>
      <c r="E68" t="s">
        <v>23</v>
      </c>
      <c r="F68" t="s">
        <v>42</v>
      </c>
      <c r="G68">
        <v>12</v>
      </c>
      <c r="H68">
        <v>34235</v>
      </c>
      <c r="I68">
        <v>21747</v>
      </c>
      <c r="J68">
        <v>410820</v>
      </c>
      <c r="K68">
        <v>260964</v>
      </c>
      <c r="L68">
        <v>12958</v>
      </c>
      <c r="M68">
        <v>10000</v>
      </c>
      <c r="N68">
        <v>2000</v>
      </c>
      <c r="O68">
        <v>285922</v>
      </c>
      <c r="P68">
        <v>124898</v>
      </c>
      <c r="Q68">
        <v>2025</v>
      </c>
      <c r="R68">
        <v>6</v>
      </c>
      <c r="S68" t="s">
        <v>105</v>
      </c>
      <c r="T68">
        <v>30.4</v>
      </c>
    </row>
    <row r="69" spans="1:20" x14ac:dyDescent="0.3">
      <c r="A69" t="s">
        <v>113</v>
      </c>
      <c r="B69" s="2">
        <v>45830</v>
      </c>
      <c r="C69" t="s">
        <v>32</v>
      </c>
      <c r="D69" t="s">
        <v>35</v>
      </c>
      <c r="E69" t="s">
        <v>36</v>
      </c>
      <c r="F69" t="s">
        <v>30</v>
      </c>
      <c r="G69">
        <v>11</v>
      </c>
      <c r="H69">
        <v>467275</v>
      </c>
      <c r="I69">
        <v>392377</v>
      </c>
      <c r="J69">
        <v>5140025</v>
      </c>
      <c r="K69">
        <v>4316147</v>
      </c>
      <c r="L69">
        <v>20560</v>
      </c>
      <c r="M69">
        <v>10000</v>
      </c>
      <c r="N69">
        <v>3000</v>
      </c>
      <c r="O69">
        <v>4349707</v>
      </c>
      <c r="P69">
        <v>790318</v>
      </c>
      <c r="Q69">
        <v>2025</v>
      </c>
      <c r="R69">
        <v>6</v>
      </c>
      <c r="S69" t="s">
        <v>105</v>
      </c>
      <c r="T69">
        <v>15.38</v>
      </c>
    </row>
    <row r="70" spans="1:20" x14ac:dyDescent="0.3">
      <c r="A70" t="s">
        <v>114</v>
      </c>
      <c r="B70" s="2">
        <v>45835</v>
      </c>
      <c r="C70" t="s">
        <v>27</v>
      </c>
      <c r="D70" t="s">
        <v>39</v>
      </c>
      <c r="E70" t="s">
        <v>23</v>
      </c>
      <c r="F70" t="s">
        <v>40</v>
      </c>
      <c r="G70">
        <v>3</v>
      </c>
      <c r="H70">
        <v>32913</v>
      </c>
      <c r="I70">
        <v>20991</v>
      </c>
      <c r="J70">
        <v>98739</v>
      </c>
      <c r="K70">
        <v>62973</v>
      </c>
      <c r="L70">
        <v>24458</v>
      </c>
      <c r="M70">
        <v>15000</v>
      </c>
      <c r="N70">
        <v>5000</v>
      </c>
      <c r="O70">
        <v>107431</v>
      </c>
      <c r="P70">
        <v>-8692</v>
      </c>
      <c r="Q70">
        <v>2025</v>
      </c>
      <c r="R70">
        <v>6</v>
      </c>
      <c r="S70" t="s">
        <v>105</v>
      </c>
      <c r="T70">
        <v>-8.8000000000000007</v>
      </c>
    </row>
    <row r="71" spans="1:20" x14ac:dyDescent="0.3">
      <c r="A71" t="s">
        <v>115</v>
      </c>
      <c r="B71" s="2">
        <v>45836</v>
      </c>
      <c r="C71" t="s">
        <v>27</v>
      </c>
      <c r="D71" t="s">
        <v>35</v>
      </c>
      <c r="E71" t="s">
        <v>36</v>
      </c>
      <c r="F71" t="s">
        <v>40</v>
      </c>
      <c r="G71">
        <v>3</v>
      </c>
      <c r="H71">
        <v>489882</v>
      </c>
      <c r="I71">
        <v>404390</v>
      </c>
      <c r="J71">
        <v>1469646</v>
      </c>
      <c r="K71">
        <v>1213170</v>
      </c>
      <c r="L71">
        <v>12796</v>
      </c>
      <c r="M71">
        <v>20000</v>
      </c>
      <c r="N71">
        <v>5000</v>
      </c>
      <c r="O71">
        <v>1250966</v>
      </c>
      <c r="P71">
        <v>218680</v>
      </c>
      <c r="Q71">
        <v>2025</v>
      </c>
      <c r="R71">
        <v>6</v>
      </c>
      <c r="S71" t="s">
        <v>105</v>
      </c>
      <c r="T71">
        <v>14.88</v>
      </c>
    </row>
    <row r="72" spans="1:20" x14ac:dyDescent="0.3">
      <c r="A72" t="s">
        <v>116</v>
      </c>
      <c r="B72" s="2">
        <v>45836</v>
      </c>
      <c r="C72" t="s">
        <v>27</v>
      </c>
      <c r="D72" t="s">
        <v>28</v>
      </c>
      <c r="E72" t="s">
        <v>29</v>
      </c>
      <c r="F72" t="s">
        <v>37</v>
      </c>
      <c r="G72">
        <v>3</v>
      </c>
      <c r="H72">
        <v>187891</v>
      </c>
      <c r="I72">
        <v>131023</v>
      </c>
      <c r="J72">
        <v>563673</v>
      </c>
      <c r="K72">
        <v>393069</v>
      </c>
      <c r="L72">
        <v>29433</v>
      </c>
      <c r="M72">
        <v>0</v>
      </c>
      <c r="N72">
        <v>8000</v>
      </c>
      <c r="O72">
        <v>430502</v>
      </c>
      <c r="P72">
        <v>133171</v>
      </c>
      <c r="Q72">
        <v>2025</v>
      </c>
      <c r="R72">
        <v>6</v>
      </c>
      <c r="S72" t="s">
        <v>105</v>
      </c>
      <c r="T72">
        <v>23.63</v>
      </c>
    </row>
    <row r="73" spans="1:20" x14ac:dyDescent="0.3">
      <c r="A73" t="s">
        <v>117</v>
      </c>
      <c r="B73" s="2">
        <v>45844</v>
      </c>
      <c r="C73" t="s">
        <v>27</v>
      </c>
      <c r="D73" t="s">
        <v>58</v>
      </c>
      <c r="E73" t="s">
        <v>29</v>
      </c>
      <c r="F73" t="s">
        <v>30</v>
      </c>
      <c r="G73">
        <v>12</v>
      </c>
      <c r="H73">
        <v>251680</v>
      </c>
      <c r="I73">
        <v>175060</v>
      </c>
      <c r="J73">
        <v>3020160</v>
      </c>
      <c r="K73">
        <v>2100720</v>
      </c>
      <c r="L73">
        <v>14615</v>
      </c>
      <c r="M73">
        <v>5000</v>
      </c>
      <c r="N73">
        <v>2000</v>
      </c>
      <c r="O73">
        <v>2122335</v>
      </c>
      <c r="P73">
        <v>897825</v>
      </c>
      <c r="Q73">
        <v>2025</v>
      </c>
      <c r="R73">
        <v>7</v>
      </c>
      <c r="S73" t="s">
        <v>118</v>
      </c>
      <c r="T73">
        <v>29.73</v>
      </c>
    </row>
    <row r="74" spans="1:20" x14ac:dyDescent="0.3">
      <c r="A74" t="s">
        <v>119</v>
      </c>
      <c r="B74" s="2">
        <v>45846</v>
      </c>
      <c r="C74" t="s">
        <v>34</v>
      </c>
      <c r="D74" t="s">
        <v>35</v>
      </c>
      <c r="E74" t="s">
        <v>36</v>
      </c>
      <c r="F74" t="s">
        <v>42</v>
      </c>
      <c r="G74">
        <v>14</v>
      </c>
      <c r="H74">
        <v>486928</v>
      </c>
      <c r="I74">
        <v>405769</v>
      </c>
      <c r="J74">
        <v>6816992</v>
      </c>
      <c r="K74">
        <v>5680766</v>
      </c>
      <c r="L74">
        <v>22662</v>
      </c>
      <c r="M74">
        <v>15000</v>
      </c>
      <c r="N74">
        <v>2000</v>
      </c>
      <c r="O74">
        <v>5720428</v>
      </c>
      <c r="P74">
        <v>1096564</v>
      </c>
      <c r="Q74">
        <v>2025</v>
      </c>
      <c r="R74">
        <v>7</v>
      </c>
      <c r="S74" t="s">
        <v>118</v>
      </c>
      <c r="T74">
        <v>16.09</v>
      </c>
    </row>
    <row r="75" spans="1:20" x14ac:dyDescent="0.3">
      <c r="A75" t="s">
        <v>120</v>
      </c>
      <c r="B75" s="2">
        <v>45848</v>
      </c>
      <c r="C75" t="s">
        <v>34</v>
      </c>
      <c r="D75" t="s">
        <v>35</v>
      </c>
      <c r="E75" t="s">
        <v>36</v>
      </c>
      <c r="F75" t="s">
        <v>45</v>
      </c>
      <c r="G75">
        <v>13</v>
      </c>
      <c r="H75">
        <v>474558</v>
      </c>
      <c r="I75">
        <v>399432</v>
      </c>
      <c r="J75">
        <v>6169254</v>
      </c>
      <c r="K75">
        <v>5192616</v>
      </c>
      <c r="L75">
        <v>14161</v>
      </c>
      <c r="M75">
        <v>5000</v>
      </c>
      <c r="N75">
        <v>10000</v>
      </c>
      <c r="O75">
        <v>5221777</v>
      </c>
      <c r="P75">
        <v>947477</v>
      </c>
      <c r="Q75">
        <v>2025</v>
      </c>
      <c r="R75">
        <v>7</v>
      </c>
      <c r="S75" t="s">
        <v>118</v>
      </c>
      <c r="T75">
        <v>15.36</v>
      </c>
    </row>
    <row r="76" spans="1:20" x14ac:dyDescent="0.3">
      <c r="A76" t="s">
        <v>121</v>
      </c>
      <c r="B76" s="2">
        <v>45850</v>
      </c>
      <c r="C76" t="s">
        <v>32</v>
      </c>
      <c r="D76" t="s">
        <v>28</v>
      </c>
      <c r="E76" t="s">
        <v>29</v>
      </c>
      <c r="F76" t="s">
        <v>45</v>
      </c>
      <c r="G76">
        <v>8</v>
      </c>
      <c r="H76">
        <v>170924</v>
      </c>
      <c r="I76">
        <v>137195</v>
      </c>
      <c r="J76">
        <v>1367392</v>
      </c>
      <c r="K76">
        <v>1097560</v>
      </c>
      <c r="L76">
        <v>24702</v>
      </c>
      <c r="M76">
        <v>0</v>
      </c>
      <c r="N76">
        <v>5000</v>
      </c>
      <c r="O76">
        <v>1127262</v>
      </c>
      <c r="P76">
        <v>240130</v>
      </c>
      <c r="Q76">
        <v>2025</v>
      </c>
      <c r="R76">
        <v>7</v>
      </c>
      <c r="S76" t="s">
        <v>118</v>
      </c>
      <c r="T76">
        <v>17.559999999999999</v>
      </c>
    </row>
    <row r="77" spans="1:20" x14ac:dyDescent="0.3">
      <c r="A77" t="s">
        <v>122</v>
      </c>
      <c r="B77" s="2">
        <v>45853</v>
      </c>
      <c r="C77" t="s">
        <v>34</v>
      </c>
      <c r="D77" t="s">
        <v>28</v>
      </c>
      <c r="E77" t="s">
        <v>29</v>
      </c>
      <c r="F77" t="s">
        <v>24</v>
      </c>
      <c r="G77">
        <v>14</v>
      </c>
      <c r="H77">
        <v>175656</v>
      </c>
      <c r="I77">
        <v>135881</v>
      </c>
      <c r="J77">
        <v>2459184</v>
      </c>
      <c r="K77">
        <v>1902334</v>
      </c>
      <c r="L77">
        <v>19845</v>
      </c>
      <c r="M77">
        <v>10000</v>
      </c>
      <c r="N77">
        <v>2000</v>
      </c>
      <c r="O77">
        <v>1934179</v>
      </c>
      <c r="P77">
        <v>525005</v>
      </c>
      <c r="Q77">
        <v>2025</v>
      </c>
      <c r="R77">
        <v>7</v>
      </c>
      <c r="S77" t="s">
        <v>118</v>
      </c>
      <c r="T77">
        <v>21.35</v>
      </c>
    </row>
    <row r="78" spans="1:20" x14ac:dyDescent="0.3">
      <c r="A78" t="s">
        <v>123</v>
      </c>
      <c r="B78" s="2">
        <v>45853</v>
      </c>
      <c r="C78" t="s">
        <v>21</v>
      </c>
      <c r="D78" t="s">
        <v>35</v>
      </c>
      <c r="E78" t="s">
        <v>36</v>
      </c>
      <c r="F78" t="s">
        <v>37</v>
      </c>
      <c r="G78">
        <v>12</v>
      </c>
      <c r="H78">
        <v>497652</v>
      </c>
      <c r="I78">
        <v>394317</v>
      </c>
      <c r="J78">
        <v>5971824</v>
      </c>
      <c r="K78">
        <v>4731804</v>
      </c>
      <c r="L78">
        <v>16092</v>
      </c>
      <c r="M78">
        <v>15000</v>
      </c>
      <c r="N78">
        <v>8000</v>
      </c>
      <c r="O78">
        <v>4770896</v>
      </c>
      <c r="P78">
        <v>1200928</v>
      </c>
      <c r="Q78">
        <v>2025</v>
      </c>
      <c r="R78">
        <v>7</v>
      </c>
      <c r="S78" t="s">
        <v>118</v>
      </c>
      <c r="T78">
        <v>20.11</v>
      </c>
    </row>
    <row r="79" spans="1:20" x14ac:dyDescent="0.3">
      <c r="A79" t="s">
        <v>124</v>
      </c>
      <c r="B79" s="2">
        <v>45854</v>
      </c>
      <c r="C79" t="s">
        <v>34</v>
      </c>
      <c r="D79" t="s">
        <v>58</v>
      </c>
      <c r="E79" t="s">
        <v>29</v>
      </c>
      <c r="F79" t="s">
        <v>45</v>
      </c>
      <c r="G79">
        <v>9</v>
      </c>
      <c r="H79">
        <v>219136</v>
      </c>
      <c r="I79">
        <v>184374</v>
      </c>
      <c r="J79">
        <v>1972224</v>
      </c>
      <c r="K79">
        <v>1659366</v>
      </c>
      <c r="L79">
        <v>18440</v>
      </c>
      <c r="M79">
        <v>10000</v>
      </c>
      <c r="N79">
        <v>3000</v>
      </c>
      <c r="O79">
        <v>1690806</v>
      </c>
      <c r="P79">
        <v>281418</v>
      </c>
      <c r="Q79">
        <v>2025</v>
      </c>
      <c r="R79">
        <v>7</v>
      </c>
      <c r="S79" t="s">
        <v>118</v>
      </c>
      <c r="T79">
        <v>14.27</v>
      </c>
    </row>
    <row r="80" spans="1:20" x14ac:dyDescent="0.3">
      <c r="A80" t="s">
        <v>125</v>
      </c>
      <c r="B80" s="2">
        <v>45860</v>
      </c>
      <c r="C80" t="s">
        <v>27</v>
      </c>
      <c r="D80" t="s">
        <v>56</v>
      </c>
      <c r="E80" t="s">
        <v>36</v>
      </c>
      <c r="F80" t="s">
        <v>40</v>
      </c>
      <c r="G80">
        <v>9</v>
      </c>
      <c r="H80">
        <v>145721</v>
      </c>
      <c r="I80">
        <v>101471</v>
      </c>
      <c r="J80">
        <v>1311489</v>
      </c>
      <c r="K80">
        <v>913239</v>
      </c>
      <c r="L80">
        <v>13704</v>
      </c>
      <c r="M80">
        <v>5000</v>
      </c>
      <c r="N80">
        <v>2000</v>
      </c>
      <c r="O80">
        <v>933943</v>
      </c>
      <c r="P80">
        <v>377546</v>
      </c>
      <c r="Q80">
        <v>2025</v>
      </c>
      <c r="R80">
        <v>7</v>
      </c>
      <c r="S80" t="s">
        <v>118</v>
      </c>
      <c r="T80">
        <v>28.79</v>
      </c>
    </row>
    <row r="81" spans="1:20" x14ac:dyDescent="0.3">
      <c r="A81" t="s">
        <v>126</v>
      </c>
      <c r="B81" s="2">
        <v>45875</v>
      </c>
      <c r="C81" t="s">
        <v>34</v>
      </c>
      <c r="D81" t="s">
        <v>28</v>
      </c>
      <c r="E81" t="s">
        <v>29</v>
      </c>
      <c r="F81" t="s">
        <v>42</v>
      </c>
      <c r="G81">
        <v>6</v>
      </c>
      <c r="H81">
        <v>163910</v>
      </c>
      <c r="I81">
        <v>132025</v>
      </c>
      <c r="J81">
        <v>983460</v>
      </c>
      <c r="K81">
        <v>792150</v>
      </c>
      <c r="L81">
        <v>17565</v>
      </c>
      <c r="M81">
        <v>20000</v>
      </c>
      <c r="N81">
        <v>2000</v>
      </c>
      <c r="O81">
        <v>831715</v>
      </c>
      <c r="P81">
        <v>151745</v>
      </c>
      <c r="Q81">
        <v>2025</v>
      </c>
      <c r="R81">
        <v>8</v>
      </c>
      <c r="S81" t="s">
        <v>127</v>
      </c>
      <c r="T81">
        <v>15.43</v>
      </c>
    </row>
    <row r="82" spans="1:20" x14ac:dyDescent="0.3">
      <c r="A82" t="s">
        <v>128</v>
      </c>
      <c r="B82" s="2">
        <v>45878</v>
      </c>
      <c r="C82" t="s">
        <v>32</v>
      </c>
      <c r="D82" t="s">
        <v>58</v>
      </c>
      <c r="E82" t="s">
        <v>29</v>
      </c>
      <c r="F82" t="s">
        <v>40</v>
      </c>
      <c r="G82">
        <v>12</v>
      </c>
      <c r="H82">
        <v>231295</v>
      </c>
      <c r="I82">
        <v>174398</v>
      </c>
      <c r="J82">
        <v>2775540</v>
      </c>
      <c r="K82">
        <v>2092776</v>
      </c>
      <c r="L82">
        <v>18050</v>
      </c>
      <c r="M82">
        <v>5000</v>
      </c>
      <c r="N82">
        <v>5000</v>
      </c>
      <c r="O82">
        <v>2120826</v>
      </c>
      <c r="P82">
        <v>654714</v>
      </c>
      <c r="Q82">
        <v>2025</v>
      </c>
      <c r="R82">
        <v>8</v>
      </c>
      <c r="S82" t="s">
        <v>127</v>
      </c>
      <c r="T82">
        <v>23.59</v>
      </c>
    </row>
    <row r="83" spans="1:20" x14ac:dyDescent="0.3">
      <c r="A83" t="s">
        <v>129</v>
      </c>
      <c r="B83" s="2">
        <v>45882</v>
      </c>
      <c r="C83" t="s">
        <v>32</v>
      </c>
      <c r="D83" t="s">
        <v>58</v>
      </c>
      <c r="E83" t="s">
        <v>29</v>
      </c>
      <c r="F83" t="s">
        <v>37</v>
      </c>
      <c r="G83">
        <v>8</v>
      </c>
      <c r="H83">
        <v>213650</v>
      </c>
      <c r="I83">
        <v>171047</v>
      </c>
      <c r="J83">
        <v>1709200</v>
      </c>
      <c r="K83">
        <v>1368376</v>
      </c>
      <c r="L83">
        <v>11220</v>
      </c>
      <c r="M83">
        <v>15000</v>
      </c>
      <c r="N83">
        <v>3000</v>
      </c>
      <c r="O83">
        <v>1397596</v>
      </c>
      <c r="P83">
        <v>311604</v>
      </c>
      <c r="Q83">
        <v>2025</v>
      </c>
      <c r="R83">
        <v>8</v>
      </c>
      <c r="S83" t="s">
        <v>127</v>
      </c>
      <c r="T83">
        <v>18.23</v>
      </c>
    </row>
    <row r="84" spans="1:20" x14ac:dyDescent="0.3">
      <c r="A84" t="s">
        <v>130</v>
      </c>
      <c r="B84" s="2">
        <v>45883</v>
      </c>
      <c r="C84" t="s">
        <v>21</v>
      </c>
      <c r="D84" t="s">
        <v>56</v>
      </c>
      <c r="E84" t="s">
        <v>36</v>
      </c>
      <c r="F84" t="s">
        <v>37</v>
      </c>
      <c r="G84">
        <v>5</v>
      </c>
      <c r="H84">
        <v>144146</v>
      </c>
      <c r="I84">
        <v>100085</v>
      </c>
      <c r="J84">
        <v>720730</v>
      </c>
      <c r="K84">
        <v>500425</v>
      </c>
      <c r="L84">
        <v>20018</v>
      </c>
      <c r="M84">
        <v>15000</v>
      </c>
      <c r="N84">
        <v>3000</v>
      </c>
      <c r="O84">
        <v>538443</v>
      </c>
      <c r="P84">
        <v>182287</v>
      </c>
      <c r="Q84">
        <v>2025</v>
      </c>
      <c r="R84">
        <v>8</v>
      </c>
      <c r="S84" t="s">
        <v>127</v>
      </c>
      <c r="T84">
        <v>25.29</v>
      </c>
    </row>
    <row r="85" spans="1:20" x14ac:dyDescent="0.3">
      <c r="A85" t="s">
        <v>131</v>
      </c>
      <c r="B85" s="2">
        <v>45883</v>
      </c>
      <c r="C85" t="s">
        <v>32</v>
      </c>
      <c r="D85" t="s">
        <v>56</v>
      </c>
      <c r="E85" t="s">
        <v>36</v>
      </c>
      <c r="F85" t="s">
        <v>24</v>
      </c>
      <c r="G85">
        <v>1</v>
      </c>
      <c r="H85">
        <v>132692</v>
      </c>
      <c r="I85">
        <v>103231</v>
      </c>
      <c r="J85">
        <v>132692</v>
      </c>
      <c r="K85">
        <v>103231</v>
      </c>
      <c r="L85">
        <v>14901</v>
      </c>
      <c r="M85">
        <v>5000</v>
      </c>
      <c r="N85">
        <v>5000</v>
      </c>
      <c r="O85">
        <v>128132</v>
      </c>
      <c r="P85">
        <v>4560</v>
      </c>
      <c r="Q85">
        <v>2025</v>
      </c>
      <c r="R85">
        <v>8</v>
      </c>
      <c r="S85" t="s">
        <v>127</v>
      </c>
      <c r="T85">
        <v>3.44</v>
      </c>
    </row>
    <row r="86" spans="1:20" x14ac:dyDescent="0.3">
      <c r="A86" t="s">
        <v>132</v>
      </c>
      <c r="B86" s="2">
        <v>45886</v>
      </c>
      <c r="C86" t="s">
        <v>21</v>
      </c>
      <c r="D86" t="s">
        <v>35</v>
      </c>
      <c r="E86" t="s">
        <v>36</v>
      </c>
      <c r="F86" t="s">
        <v>37</v>
      </c>
      <c r="G86">
        <v>7</v>
      </c>
      <c r="H86">
        <v>492190</v>
      </c>
      <c r="I86">
        <v>407581</v>
      </c>
      <c r="J86">
        <v>3445330</v>
      </c>
      <c r="K86">
        <v>2853067</v>
      </c>
      <c r="L86">
        <v>17682</v>
      </c>
      <c r="M86">
        <v>10000</v>
      </c>
      <c r="N86">
        <v>10000</v>
      </c>
      <c r="O86">
        <v>2890749</v>
      </c>
      <c r="P86">
        <v>554581</v>
      </c>
      <c r="Q86">
        <v>2025</v>
      </c>
      <c r="R86">
        <v>8</v>
      </c>
      <c r="S86" t="s">
        <v>127</v>
      </c>
      <c r="T86">
        <v>16.100000000000001</v>
      </c>
    </row>
    <row r="87" spans="1:20" x14ac:dyDescent="0.3">
      <c r="A87" t="s">
        <v>133</v>
      </c>
      <c r="B87" s="2">
        <v>45887</v>
      </c>
      <c r="C87" t="s">
        <v>27</v>
      </c>
      <c r="D87" t="s">
        <v>22</v>
      </c>
      <c r="E87" t="s">
        <v>23</v>
      </c>
      <c r="F87" t="s">
        <v>40</v>
      </c>
      <c r="G87">
        <v>13</v>
      </c>
      <c r="H87">
        <v>26850</v>
      </c>
      <c r="I87">
        <v>13362</v>
      </c>
      <c r="J87">
        <v>349050</v>
      </c>
      <c r="K87">
        <v>173706</v>
      </c>
      <c r="L87">
        <v>6016</v>
      </c>
      <c r="M87">
        <v>5000</v>
      </c>
      <c r="N87">
        <v>3000</v>
      </c>
      <c r="O87">
        <v>187722</v>
      </c>
      <c r="P87">
        <v>161328</v>
      </c>
      <c r="Q87">
        <v>2025</v>
      </c>
      <c r="R87">
        <v>8</v>
      </c>
      <c r="S87" t="s">
        <v>127</v>
      </c>
      <c r="T87">
        <v>46.22</v>
      </c>
    </row>
    <row r="88" spans="1:20" x14ac:dyDescent="0.3">
      <c r="A88" t="s">
        <v>134</v>
      </c>
      <c r="B88" s="2">
        <v>45887</v>
      </c>
      <c r="C88" t="s">
        <v>21</v>
      </c>
      <c r="D88" t="s">
        <v>35</v>
      </c>
      <c r="E88" t="s">
        <v>36</v>
      </c>
      <c r="F88" t="s">
        <v>42</v>
      </c>
      <c r="G88">
        <v>13</v>
      </c>
      <c r="H88">
        <v>478954</v>
      </c>
      <c r="I88">
        <v>404407</v>
      </c>
      <c r="J88">
        <v>6226402</v>
      </c>
      <c r="K88">
        <v>5257291</v>
      </c>
      <c r="L88">
        <v>7326</v>
      </c>
      <c r="M88">
        <v>10000</v>
      </c>
      <c r="N88">
        <v>10000</v>
      </c>
      <c r="O88">
        <v>5284617</v>
      </c>
      <c r="P88">
        <v>941785</v>
      </c>
      <c r="Q88">
        <v>2025</v>
      </c>
      <c r="R88">
        <v>8</v>
      </c>
      <c r="S88" t="s">
        <v>127</v>
      </c>
      <c r="T88">
        <v>15.13</v>
      </c>
    </row>
    <row r="89" spans="1:20" x14ac:dyDescent="0.3">
      <c r="A89" t="s">
        <v>135</v>
      </c>
      <c r="B89" s="2">
        <v>45889</v>
      </c>
      <c r="C89" t="s">
        <v>21</v>
      </c>
      <c r="D89" t="s">
        <v>58</v>
      </c>
      <c r="E89" t="s">
        <v>29</v>
      </c>
      <c r="F89" t="s">
        <v>40</v>
      </c>
      <c r="G89">
        <v>2</v>
      </c>
      <c r="H89">
        <v>226117</v>
      </c>
      <c r="I89">
        <v>181421</v>
      </c>
      <c r="J89">
        <v>452234</v>
      </c>
      <c r="K89">
        <v>362842</v>
      </c>
      <c r="L89">
        <v>27044</v>
      </c>
      <c r="M89">
        <v>20000</v>
      </c>
      <c r="N89">
        <v>10000</v>
      </c>
      <c r="O89">
        <v>419886</v>
      </c>
      <c r="P89">
        <v>32348</v>
      </c>
      <c r="Q89">
        <v>2025</v>
      </c>
      <c r="R89">
        <v>8</v>
      </c>
      <c r="S89" t="s">
        <v>127</v>
      </c>
      <c r="T89">
        <v>7.15</v>
      </c>
    </row>
    <row r="90" spans="1:20" x14ac:dyDescent="0.3">
      <c r="A90" t="s">
        <v>136</v>
      </c>
      <c r="B90" s="2">
        <v>45889</v>
      </c>
      <c r="C90" t="s">
        <v>49</v>
      </c>
      <c r="D90" t="s">
        <v>22</v>
      </c>
      <c r="E90" t="s">
        <v>23</v>
      </c>
      <c r="F90" t="s">
        <v>42</v>
      </c>
      <c r="G90">
        <v>14</v>
      </c>
      <c r="H90">
        <v>23948</v>
      </c>
      <c r="I90">
        <v>13863</v>
      </c>
      <c r="J90">
        <v>335272</v>
      </c>
      <c r="K90">
        <v>194082</v>
      </c>
      <c r="L90">
        <v>22411</v>
      </c>
      <c r="M90">
        <v>0</v>
      </c>
      <c r="N90">
        <v>5000</v>
      </c>
      <c r="O90">
        <v>221493</v>
      </c>
      <c r="P90">
        <v>113779</v>
      </c>
      <c r="Q90">
        <v>2025</v>
      </c>
      <c r="R90">
        <v>8</v>
      </c>
      <c r="S90" t="s">
        <v>127</v>
      </c>
      <c r="T90">
        <v>33.94</v>
      </c>
    </row>
    <row r="91" spans="1:20" x14ac:dyDescent="0.3">
      <c r="A91" t="s">
        <v>137</v>
      </c>
      <c r="B91" s="2">
        <v>45889</v>
      </c>
      <c r="C91" t="s">
        <v>49</v>
      </c>
      <c r="D91" t="s">
        <v>39</v>
      </c>
      <c r="E91" t="s">
        <v>23</v>
      </c>
      <c r="F91" t="s">
        <v>42</v>
      </c>
      <c r="G91">
        <v>8</v>
      </c>
      <c r="H91">
        <v>33990</v>
      </c>
      <c r="I91">
        <v>20637</v>
      </c>
      <c r="J91">
        <v>271920</v>
      </c>
      <c r="K91">
        <v>165096</v>
      </c>
      <c r="L91">
        <v>30355</v>
      </c>
      <c r="M91">
        <v>15000</v>
      </c>
      <c r="N91">
        <v>5000</v>
      </c>
      <c r="O91">
        <v>215451</v>
      </c>
      <c r="P91">
        <v>56469</v>
      </c>
      <c r="Q91">
        <v>2025</v>
      </c>
      <c r="R91">
        <v>8</v>
      </c>
      <c r="S91" t="s">
        <v>127</v>
      </c>
      <c r="T91">
        <v>20.77</v>
      </c>
    </row>
    <row r="92" spans="1:20" x14ac:dyDescent="0.3">
      <c r="A92" t="s">
        <v>138</v>
      </c>
      <c r="B92" s="2">
        <v>45893</v>
      </c>
      <c r="C92" t="s">
        <v>34</v>
      </c>
      <c r="D92" t="s">
        <v>39</v>
      </c>
      <c r="E92" t="s">
        <v>23</v>
      </c>
      <c r="F92" t="s">
        <v>45</v>
      </c>
      <c r="G92">
        <v>4</v>
      </c>
      <c r="H92">
        <v>33498</v>
      </c>
      <c r="I92">
        <v>21384</v>
      </c>
      <c r="J92">
        <v>133992</v>
      </c>
      <c r="K92">
        <v>85536</v>
      </c>
      <c r="L92">
        <v>34010</v>
      </c>
      <c r="M92">
        <v>5000</v>
      </c>
      <c r="N92">
        <v>2000</v>
      </c>
      <c r="O92">
        <v>126546</v>
      </c>
      <c r="P92">
        <v>7446</v>
      </c>
      <c r="Q92">
        <v>2025</v>
      </c>
      <c r="R92">
        <v>8</v>
      </c>
      <c r="S92" t="s">
        <v>127</v>
      </c>
      <c r="T92">
        <v>5.56</v>
      </c>
    </row>
    <row r="93" spans="1:20" x14ac:dyDescent="0.3">
      <c r="A93" t="s">
        <v>139</v>
      </c>
      <c r="B93" s="2">
        <v>45895</v>
      </c>
      <c r="C93" t="s">
        <v>34</v>
      </c>
      <c r="D93" t="s">
        <v>28</v>
      </c>
      <c r="E93" t="s">
        <v>29</v>
      </c>
      <c r="F93" t="s">
        <v>45</v>
      </c>
      <c r="G93">
        <v>12</v>
      </c>
      <c r="H93">
        <v>177502</v>
      </c>
      <c r="I93">
        <v>124518</v>
      </c>
      <c r="J93">
        <v>2130024</v>
      </c>
      <c r="K93">
        <v>1494216</v>
      </c>
      <c r="L93">
        <v>15810</v>
      </c>
      <c r="M93">
        <v>10000</v>
      </c>
      <c r="N93">
        <v>10000</v>
      </c>
      <c r="O93">
        <v>1530026</v>
      </c>
      <c r="P93">
        <v>599998</v>
      </c>
      <c r="Q93">
        <v>2025</v>
      </c>
      <c r="R93">
        <v>8</v>
      </c>
      <c r="S93" t="s">
        <v>127</v>
      </c>
      <c r="T93">
        <v>28.17</v>
      </c>
    </row>
    <row r="94" spans="1:20" x14ac:dyDescent="0.3">
      <c r="A94" t="s">
        <v>140</v>
      </c>
      <c r="B94" s="2">
        <v>45896</v>
      </c>
      <c r="C94" t="s">
        <v>21</v>
      </c>
      <c r="D94" t="s">
        <v>28</v>
      </c>
      <c r="E94" t="s">
        <v>29</v>
      </c>
      <c r="F94" t="s">
        <v>24</v>
      </c>
      <c r="G94">
        <v>13</v>
      </c>
      <c r="H94">
        <v>184218</v>
      </c>
      <c r="I94">
        <v>123541</v>
      </c>
      <c r="J94">
        <v>2394834</v>
      </c>
      <c r="K94">
        <v>1606033</v>
      </c>
      <c r="L94">
        <v>12176</v>
      </c>
      <c r="M94">
        <v>5000</v>
      </c>
      <c r="N94">
        <v>10000</v>
      </c>
      <c r="O94">
        <v>1633209</v>
      </c>
      <c r="P94">
        <v>761625</v>
      </c>
      <c r="Q94">
        <v>2025</v>
      </c>
      <c r="R94">
        <v>8</v>
      </c>
      <c r="S94" t="s">
        <v>127</v>
      </c>
      <c r="T94">
        <v>31.8</v>
      </c>
    </row>
    <row r="95" spans="1:20" x14ac:dyDescent="0.3">
      <c r="A95" t="s">
        <v>141</v>
      </c>
      <c r="B95" s="2">
        <v>45897</v>
      </c>
      <c r="C95" t="s">
        <v>27</v>
      </c>
      <c r="D95" t="s">
        <v>56</v>
      </c>
      <c r="E95" t="s">
        <v>36</v>
      </c>
      <c r="F95" t="s">
        <v>45</v>
      </c>
      <c r="G95">
        <v>10</v>
      </c>
      <c r="H95">
        <v>159569</v>
      </c>
      <c r="I95">
        <v>106234</v>
      </c>
      <c r="J95">
        <v>1595690</v>
      </c>
      <c r="K95">
        <v>1062340</v>
      </c>
      <c r="L95">
        <v>24991</v>
      </c>
      <c r="M95">
        <v>5000</v>
      </c>
      <c r="N95">
        <v>2000</v>
      </c>
      <c r="O95">
        <v>1094331</v>
      </c>
      <c r="P95">
        <v>501359</v>
      </c>
      <c r="Q95">
        <v>2025</v>
      </c>
      <c r="R95">
        <v>8</v>
      </c>
      <c r="S95" t="s">
        <v>127</v>
      </c>
      <c r="T95">
        <v>31.42</v>
      </c>
    </row>
    <row r="96" spans="1:20" x14ac:dyDescent="0.3">
      <c r="A96" t="s">
        <v>142</v>
      </c>
      <c r="B96" s="2">
        <v>45898</v>
      </c>
      <c r="C96" t="s">
        <v>27</v>
      </c>
      <c r="D96" t="s">
        <v>56</v>
      </c>
      <c r="E96" t="s">
        <v>36</v>
      </c>
      <c r="F96" t="s">
        <v>37</v>
      </c>
      <c r="G96">
        <v>15</v>
      </c>
      <c r="H96">
        <v>152963</v>
      </c>
      <c r="I96">
        <v>106437</v>
      </c>
      <c r="J96">
        <v>2294445</v>
      </c>
      <c r="K96">
        <v>1596555</v>
      </c>
      <c r="L96">
        <v>6302</v>
      </c>
      <c r="M96">
        <v>20000</v>
      </c>
      <c r="N96">
        <v>2000</v>
      </c>
      <c r="O96">
        <v>1624857</v>
      </c>
      <c r="P96">
        <v>669588</v>
      </c>
      <c r="Q96">
        <v>2025</v>
      </c>
      <c r="R96">
        <v>8</v>
      </c>
      <c r="S96" t="s">
        <v>127</v>
      </c>
      <c r="T96">
        <v>29.18</v>
      </c>
    </row>
    <row r="97" spans="1:20" x14ac:dyDescent="0.3">
      <c r="A97" t="s">
        <v>143</v>
      </c>
      <c r="B97" s="2">
        <v>45900</v>
      </c>
      <c r="C97" t="s">
        <v>49</v>
      </c>
      <c r="D97" t="s">
        <v>58</v>
      </c>
      <c r="E97" t="s">
        <v>29</v>
      </c>
      <c r="F97" t="s">
        <v>40</v>
      </c>
      <c r="G97">
        <v>8</v>
      </c>
      <c r="H97">
        <v>220014</v>
      </c>
      <c r="I97">
        <v>182895</v>
      </c>
      <c r="J97">
        <v>1760112</v>
      </c>
      <c r="K97">
        <v>1463160</v>
      </c>
      <c r="L97">
        <v>8651</v>
      </c>
      <c r="M97">
        <v>5000</v>
      </c>
      <c r="N97">
        <v>8000</v>
      </c>
      <c r="O97">
        <v>1484811</v>
      </c>
      <c r="P97">
        <v>275301</v>
      </c>
      <c r="Q97">
        <v>2025</v>
      </c>
      <c r="R97">
        <v>8</v>
      </c>
      <c r="S97" t="s">
        <v>127</v>
      </c>
      <c r="T97">
        <v>15.64</v>
      </c>
    </row>
    <row r="98" spans="1:20" x14ac:dyDescent="0.3">
      <c r="A98" t="s">
        <v>144</v>
      </c>
      <c r="B98" s="2">
        <v>45902</v>
      </c>
      <c r="C98" t="s">
        <v>49</v>
      </c>
      <c r="D98" t="s">
        <v>28</v>
      </c>
      <c r="E98" t="s">
        <v>29</v>
      </c>
      <c r="F98" t="s">
        <v>40</v>
      </c>
      <c r="G98">
        <v>2</v>
      </c>
      <c r="H98">
        <v>170335</v>
      </c>
      <c r="I98">
        <v>126853</v>
      </c>
      <c r="J98">
        <v>340670</v>
      </c>
      <c r="K98">
        <v>253706</v>
      </c>
      <c r="L98">
        <v>20006</v>
      </c>
      <c r="M98">
        <v>10000</v>
      </c>
      <c r="N98">
        <v>10000</v>
      </c>
      <c r="O98">
        <v>293712</v>
      </c>
      <c r="P98">
        <v>46958</v>
      </c>
      <c r="Q98">
        <v>2025</v>
      </c>
      <c r="R98">
        <v>9</v>
      </c>
      <c r="S98" t="s">
        <v>145</v>
      </c>
      <c r="T98">
        <v>13.78</v>
      </c>
    </row>
    <row r="99" spans="1:20" x14ac:dyDescent="0.3">
      <c r="A99" t="s">
        <v>146</v>
      </c>
      <c r="B99" s="2">
        <v>45903</v>
      </c>
      <c r="C99" t="s">
        <v>21</v>
      </c>
      <c r="D99" t="s">
        <v>22</v>
      </c>
      <c r="E99" t="s">
        <v>23</v>
      </c>
      <c r="F99" t="s">
        <v>37</v>
      </c>
      <c r="G99">
        <v>5</v>
      </c>
      <c r="H99">
        <v>24411</v>
      </c>
      <c r="I99">
        <v>14150</v>
      </c>
      <c r="J99">
        <v>122055</v>
      </c>
      <c r="K99">
        <v>70750</v>
      </c>
      <c r="L99">
        <v>10068</v>
      </c>
      <c r="M99">
        <v>5000</v>
      </c>
      <c r="N99">
        <v>2000</v>
      </c>
      <c r="O99">
        <v>87818</v>
      </c>
      <c r="P99">
        <v>34237</v>
      </c>
      <c r="Q99">
        <v>2025</v>
      </c>
      <c r="R99">
        <v>9</v>
      </c>
      <c r="S99" t="s">
        <v>145</v>
      </c>
      <c r="T99">
        <v>28.05</v>
      </c>
    </row>
    <row r="100" spans="1:20" x14ac:dyDescent="0.3">
      <c r="A100" t="s">
        <v>147</v>
      </c>
      <c r="B100" s="2">
        <v>45904</v>
      </c>
      <c r="C100" t="s">
        <v>49</v>
      </c>
      <c r="D100" t="s">
        <v>39</v>
      </c>
      <c r="E100" t="s">
        <v>23</v>
      </c>
      <c r="F100" t="s">
        <v>42</v>
      </c>
      <c r="G100">
        <v>3</v>
      </c>
      <c r="H100">
        <v>32901</v>
      </c>
      <c r="I100">
        <v>20148</v>
      </c>
      <c r="J100">
        <v>98703</v>
      </c>
      <c r="K100">
        <v>60444</v>
      </c>
      <c r="L100">
        <v>21020</v>
      </c>
      <c r="M100">
        <v>0</v>
      </c>
      <c r="N100">
        <v>10000</v>
      </c>
      <c r="O100">
        <v>91464</v>
      </c>
      <c r="P100">
        <v>7239</v>
      </c>
      <c r="Q100">
        <v>2025</v>
      </c>
      <c r="R100">
        <v>9</v>
      </c>
      <c r="S100" t="s">
        <v>145</v>
      </c>
      <c r="T100">
        <v>7.33</v>
      </c>
    </row>
    <row r="101" spans="1:20" x14ac:dyDescent="0.3">
      <c r="A101" t="s">
        <v>148</v>
      </c>
      <c r="B101" s="2">
        <v>45904</v>
      </c>
      <c r="C101" t="s">
        <v>27</v>
      </c>
      <c r="D101" t="s">
        <v>39</v>
      </c>
      <c r="E101" t="s">
        <v>23</v>
      </c>
      <c r="F101" t="s">
        <v>30</v>
      </c>
      <c r="G101">
        <v>2</v>
      </c>
      <c r="H101">
        <v>36486</v>
      </c>
      <c r="I101">
        <v>21835</v>
      </c>
      <c r="J101">
        <v>72972</v>
      </c>
      <c r="K101">
        <v>43670</v>
      </c>
      <c r="L101">
        <v>29923</v>
      </c>
      <c r="M101">
        <v>20000</v>
      </c>
      <c r="N101">
        <v>3000</v>
      </c>
      <c r="O101">
        <v>96593</v>
      </c>
      <c r="P101">
        <v>-23621</v>
      </c>
      <c r="Q101">
        <v>2025</v>
      </c>
      <c r="R101">
        <v>9</v>
      </c>
      <c r="S101" t="s">
        <v>145</v>
      </c>
      <c r="T101">
        <v>-32.369999999999997</v>
      </c>
    </row>
    <row r="102" spans="1:20" x14ac:dyDescent="0.3">
      <c r="A102" t="s">
        <v>149</v>
      </c>
      <c r="B102" s="2">
        <v>45906</v>
      </c>
      <c r="C102" t="s">
        <v>34</v>
      </c>
      <c r="D102" t="s">
        <v>35</v>
      </c>
      <c r="E102" t="s">
        <v>36</v>
      </c>
      <c r="F102" t="s">
        <v>42</v>
      </c>
      <c r="G102">
        <v>14</v>
      </c>
      <c r="H102">
        <v>500911</v>
      </c>
      <c r="I102">
        <v>405057</v>
      </c>
      <c r="J102">
        <v>7012754</v>
      </c>
      <c r="K102">
        <v>5670798</v>
      </c>
      <c r="L102">
        <v>29430</v>
      </c>
      <c r="M102">
        <v>0</v>
      </c>
      <c r="N102">
        <v>5000</v>
      </c>
      <c r="O102">
        <v>5705228</v>
      </c>
      <c r="P102">
        <v>1307526</v>
      </c>
      <c r="Q102">
        <v>2025</v>
      </c>
      <c r="R102">
        <v>9</v>
      </c>
      <c r="S102" t="s">
        <v>145</v>
      </c>
      <c r="T102">
        <v>18.64</v>
      </c>
    </row>
    <row r="103" spans="1:20" x14ac:dyDescent="0.3">
      <c r="A103" t="s">
        <v>150</v>
      </c>
      <c r="B103" s="2">
        <v>45907</v>
      </c>
      <c r="C103" t="s">
        <v>32</v>
      </c>
      <c r="D103" t="s">
        <v>56</v>
      </c>
      <c r="E103" t="s">
        <v>36</v>
      </c>
      <c r="F103" t="s">
        <v>37</v>
      </c>
      <c r="G103">
        <v>10</v>
      </c>
      <c r="H103">
        <v>145730</v>
      </c>
      <c r="I103">
        <v>103635</v>
      </c>
      <c r="J103">
        <v>1457300</v>
      </c>
      <c r="K103">
        <v>1036350</v>
      </c>
      <c r="L103">
        <v>26496</v>
      </c>
      <c r="M103">
        <v>10000</v>
      </c>
      <c r="N103">
        <v>3000</v>
      </c>
      <c r="O103">
        <v>1075846</v>
      </c>
      <c r="P103">
        <v>381454</v>
      </c>
      <c r="Q103">
        <v>2025</v>
      </c>
      <c r="R103">
        <v>9</v>
      </c>
      <c r="S103" t="s">
        <v>145</v>
      </c>
      <c r="T103">
        <v>26.18</v>
      </c>
    </row>
    <row r="104" spans="1:20" x14ac:dyDescent="0.3">
      <c r="A104" t="s">
        <v>151</v>
      </c>
      <c r="B104" s="2">
        <v>45912</v>
      </c>
      <c r="C104" t="s">
        <v>34</v>
      </c>
      <c r="D104" t="s">
        <v>35</v>
      </c>
      <c r="E104" t="s">
        <v>36</v>
      </c>
      <c r="F104" t="s">
        <v>45</v>
      </c>
      <c r="G104">
        <v>7</v>
      </c>
      <c r="H104">
        <v>470530</v>
      </c>
      <c r="I104">
        <v>402836</v>
      </c>
      <c r="J104">
        <v>3293710</v>
      </c>
      <c r="K104">
        <v>2819852</v>
      </c>
      <c r="L104">
        <v>19751</v>
      </c>
      <c r="M104">
        <v>10000</v>
      </c>
      <c r="N104">
        <v>10000</v>
      </c>
      <c r="O104">
        <v>2859603</v>
      </c>
      <c r="P104">
        <v>434107</v>
      </c>
      <c r="Q104">
        <v>2025</v>
      </c>
      <c r="R104">
        <v>9</v>
      </c>
      <c r="S104" t="s">
        <v>145</v>
      </c>
      <c r="T104">
        <v>13.18</v>
      </c>
    </row>
    <row r="105" spans="1:20" x14ac:dyDescent="0.3">
      <c r="A105" t="s">
        <v>152</v>
      </c>
      <c r="B105" s="2">
        <v>45913</v>
      </c>
      <c r="C105" t="s">
        <v>27</v>
      </c>
      <c r="D105" t="s">
        <v>22</v>
      </c>
      <c r="E105" t="s">
        <v>23</v>
      </c>
      <c r="F105" t="s">
        <v>30</v>
      </c>
      <c r="G105">
        <v>6</v>
      </c>
      <c r="H105">
        <v>26230</v>
      </c>
      <c r="I105">
        <v>14662</v>
      </c>
      <c r="J105">
        <v>157380</v>
      </c>
      <c r="K105">
        <v>87972</v>
      </c>
      <c r="L105">
        <v>18316</v>
      </c>
      <c r="M105">
        <v>20000</v>
      </c>
      <c r="N105">
        <v>3000</v>
      </c>
      <c r="O105">
        <v>129288</v>
      </c>
      <c r="P105">
        <v>28092</v>
      </c>
      <c r="Q105">
        <v>2025</v>
      </c>
      <c r="R105">
        <v>9</v>
      </c>
      <c r="S105" t="s">
        <v>145</v>
      </c>
      <c r="T105">
        <v>17.850000000000001</v>
      </c>
    </row>
    <row r="106" spans="1:20" x14ac:dyDescent="0.3">
      <c r="A106" t="s">
        <v>153</v>
      </c>
      <c r="B106" s="2">
        <v>45913</v>
      </c>
      <c r="C106" t="s">
        <v>49</v>
      </c>
      <c r="D106" t="s">
        <v>35</v>
      </c>
      <c r="E106" t="s">
        <v>36</v>
      </c>
      <c r="F106" t="s">
        <v>40</v>
      </c>
      <c r="G106">
        <v>13</v>
      </c>
      <c r="H106">
        <v>501871</v>
      </c>
      <c r="I106">
        <v>394109</v>
      </c>
      <c r="J106">
        <v>6524323</v>
      </c>
      <c r="K106">
        <v>5123417</v>
      </c>
      <c r="L106">
        <v>8321</v>
      </c>
      <c r="M106">
        <v>20000</v>
      </c>
      <c r="N106">
        <v>2000</v>
      </c>
      <c r="O106">
        <v>5153738</v>
      </c>
      <c r="P106">
        <v>1370585</v>
      </c>
      <c r="Q106">
        <v>2025</v>
      </c>
      <c r="R106">
        <v>9</v>
      </c>
      <c r="S106" t="s">
        <v>145</v>
      </c>
      <c r="T106">
        <v>21.01</v>
      </c>
    </row>
    <row r="107" spans="1:20" x14ac:dyDescent="0.3">
      <c r="A107" t="s">
        <v>154</v>
      </c>
      <c r="B107" s="2">
        <v>45915</v>
      </c>
      <c r="C107" t="s">
        <v>27</v>
      </c>
      <c r="D107" t="s">
        <v>58</v>
      </c>
      <c r="E107" t="s">
        <v>29</v>
      </c>
      <c r="F107" t="s">
        <v>30</v>
      </c>
      <c r="G107">
        <v>12</v>
      </c>
      <c r="H107">
        <v>232071</v>
      </c>
      <c r="I107">
        <v>168551</v>
      </c>
      <c r="J107">
        <v>2784852</v>
      </c>
      <c r="K107">
        <v>2022612</v>
      </c>
      <c r="L107">
        <v>22559</v>
      </c>
      <c r="M107">
        <v>5000</v>
      </c>
      <c r="N107">
        <v>3000</v>
      </c>
      <c r="O107">
        <v>2053171</v>
      </c>
      <c r="P107">
        <v>731681</v>
      </c>
      <c r="Q107">
        <v>2025</v>
      </c>
      <c r="R107">
        <v>9</v>
      </c>
      <c r="S107" t="s">
        <v>145</v>
      </c>
      <c r="T107">
        <v>26.27</v>
      </c>
    </row>
    <row r="108" spans="1:20" x14ac:dyDescent="0.3">
      <c r="A108" t="s">
        <v>155</v>
      </c>
      <c r="B108" s="2">
        <v>45918</v>
      </c>
      <c r="C108" t="s">
        <v>34</v>
      </c>
      <c r="D108" t="s">
        <v>56</v>
      </c>
      <c r="E108" t="s">
        <v>36</v>
      </c>
      <c r="F108" t="s">
        <v>40</v>
      </c>
      <c r="G108">
        <v>11</v>
      </c>
      <c r="H108">
        <v>131314</v>
      </c>
      <c r="I108">
        <v>109044</v>
      </c>
      <c r="J108">
        <v>1444454</v>
      </c>
      <c r="K108">
        <v>1199484</v>
      </c>
      <c r="L108">
        <v>18031</v>
      </c>
      <c r="M108">
        <v>20000</v>
      </c>
      <c r="N108">
        <v>3000</v>
      </c>
      <c r="O108">
        <v>1240515</v>
      </c>
      <c r="P108">
        <v>203939</v>
      </c>
      <c r="Q108">
        <v>2025</v>
      </c>
      <c r="R108">
        <v>9</v>
      </c>
      <c r="S108" t="s">
        <v>145</v>
      </c>
      <c r="T108">
        <v>14.12</v>
      </c>
    </row>
    <row r="109" spans="1:20" x14ac:dyDescent="0.3">
      <c r="A109" t="s">
        <v>156</v>
      </c>
      <c r="B109" s="2">
        <v>45928</v>
      </c>
      <c r="C109" t="s">
        <v>49</v>
      </c>
      <c r="D109" t="s">
        <v>35</v>
      </c>
      <c r="E109" t="s">
        <v>36</v>
      </c>
      <c r="F109" t="s">
        <v>45</v>
      </c>
      <c r="G109">
        <v>9</v>
      </c>
      <c r="H109">
        <v>453077</v>
      </c>
      <c r="I109">
        <v>410066</v>
      </c>
      <c r="J109">
        <v>4077693</v>
      </c>
      <c r="K109">
        <v>3690594</v>
      </c>
      <c r="L109">
        <v>9478</v>
      </c>
      <c r="M109">
        <v>20000</v>
      </c>
      <c r="N109">
        <v>5000</v>
      </c>
      <c r="O109">
        <v>3725072</v>
      </c>
      <c r="P109">
        <v>352621</v>
      </c>
      <c r="Q109">
        <v>2025</v>
      </c>
      <c r="R109">
        <v>9</v>
      </c>
      <c r="S109" t="s">
        <v>145</v>
      </c>
      <c r="T109">
        <v>8.65</v>
      </c>
    </row>
    <row r="110" spans="1:20" x14ac:dyDescent="0.3">
      <c r="A110" t="s">
        <v>157</v>
      </c>
      <c r="B110" s="2">
        <v>45929</v>
      </c>
      <c r="C110" t="s">
        <v>32</v>
      </c>
      <c r="D110" t="s">
        <v>22</v>
      </c>
      <c r="E110" t="s">
        <v>23</v>
      </c>
      <c r="F110" t="s">
        <v>45</v>
      </c>
      <c r="G110">
        <v>10</v>
      </c>
      <c r="H110">
        <v>22839</v>
      </c>
      <c r="I110">
        <v>13379</v>
      </c>
      <c r="J110">
        <v>228390</v>
      </c>
      <c r="K110">
        <v>133790</v>
      </c>
      <c r="L110">
        <v>25929</v>
      </c>
      <c r="M110">
        <v>5000</v>
      </c>
      <c r="N110">
        <v>10000</v>
      </c>
      <c r="O110">
        <v>174719</v>
      </c>
      <c r="P110">
        <v>53671</v>
      </c>
      <c r="Q110">
        <v>2025</v>
      </c>
      <c r="R110">
        <v>9</v>
      </c>
      <c r="S110" t="s">
        <v>145</v>
      </c>
      <c r="T110">
        <v>23.5</v>
      </c>
    </row>
    <row r="111" spans="1:20" x14ac:dyDescent="0.3">
      <c r="A111" t="s">
        <v>158</v>
      </c>
      <c r="B111" s="2">
        <v>45931</v>
      </c>
      <c r="C111" t="s">
        <v>21</v>
      </c>
      <c r="D111" t="s">
        <v>39</v>
      </c>
      <c r="E111" t="s">
        <v>23</v>
      </c>
      <c r="F111" t="s">
        <v>45</v>
      </c>
      <c r="G111">
        <v>15</v>
      </c>
      <c r="H111">
        <v>32939</v>
      </c>
      <c r="I111">
        <v>21985</v>
      </c>
      <c r="J111">
        <v>494085</v>
      </c>
      <c r="K111">
        <v>329775</v>
      </c>
      <c r="L111">
        <v>26104</v>
      </c>
      <c r="M111">
        <v>0</v>
      </c>
      <c r="N111">
        <v>2000</v>
      </c>
      <c r="O111">
        <v>357879</v>
      </c>
      <c r="P111">
        <v>136206</v>
      </c>
      <c r="Q111">
        <v>2025</v>
      </c>
      <c r="R111">
        <v>10</v>
      </c>
      <c r="S111" t="s">
        <v>159</v>
      </c>
      <c r="T111">
        <v>27.57</v>
      </c>
    </row>
    <row r="112" spans="1:20" x14ac:dyDescent="0.3">
      <c r="A112" t="s">
        <v>160</v>
      </c>
      <c r="B112" s="2">
        <v>45933</v>
      </c>
      <c r="C112" t="s">
        <v>27</v>
      </c>
      <c r="D112" t="s">
        <v>39</v>
      </c>
      <c r="E112" t="s">
        <v>23</v>
      </c>
      <c r="F112" t="s">
        <v>30</v>
      </c>
      <c r="G112">
        <v>13</v>
      </c>
      <c r="H112">
        <v>36606</v>
      </c>
      <c r="I112">
        <v>21037</v>
      </c>
      <c r="J112">
        <v>475878</v>
      </c>
      <c r="K112">
        <v>273481</v>
      </c>
      <c r="L112">
        <v>26348</v>
      </c>
      <c r="M112">
        <v>15000</v>
      </c>
      <c r="N112">
        <v>5000</v>
      </c>
      <c r="O112">
        <v>319829</v>
      </c>
      <c r="P112">
        <v>156049</v>
      </c>
      <c r="Q112">
        <v>2025</v>
      </c>
      <c r="R112">
        <v>10</v>
      </c>
      <c r="S112" t="s">
        <v>159</v>
      </c>
      <c r="T112">
        <v>32.79</v>
      </c>
    </row>
    <row r="113" spans="1:20" x14ac:dyDescent="0.3">
      <c r="A113" t="s">
        <v>161</v>
      </c>
      <c r="B113" s="2">
        <v>45940</v>
      </c>
      <c r="C113" t="s">
        <v>34</v>
      </c>
      <c r="D113" t="s">
        <v>56</v>
      </c>
      <c r="E113" t="s">
        <v>36</v>
      </c>
      <c r="F113" t="s">
        <v>42</v>
      </c>
      <c r="G113">
        <v>15</v>
      </c>
      <c r="H113">
        <v>146514</v>
      </c>
      <c r="I113">
        <v>102836</v>
      </c>
      <c r="J113">
        <v>2197710</v>
      </c>
      <c r="K113">
        <v>1542540</v>
      </c>
      <c r="L113">
        <v>6355</v>
      </c>
      <c r="M113">
        <v>10000</v>
      </c>
      <c r="N113">
        <v>5000</v>
      </c>
      <c r="O113">
        <v>1563895</v>
      </c>
      <c r="P113">
        <v>633815</v>
      </c>
      <c r="Q113">
        <v>2025</v>
      </c>
      <c r="R113">
        <v>10</v>
      </c>
      <c r="S113" t="s">
        <v>159</v>
      </c>
      <c r="T113">
        <v>28.84</v>
      </c>
    </row>
    <row r="114" spans="1:20" x14ac:dyDescent="0.3">
      <c r="A114" t="s">
        <v>162</v>
      </c>
      <c r="B114" s="2">
        <v>45942</v>
      </c>
      <c r="C114" t="s">
        <v>21</v>
      </c>
      <c r="D114" t="s">
        <v>58</v>
      </c>
      <c r="E114" t="s">
        <v>29</v>
      </c>
      <c r="F114" t="s">
        <v>42</v>
      </c>
      <c r="G114">
        <v>13</v>
      </c>
      <c r="H114">
        <v>227433</v>
      </c>
      <c r="I114">
        <v>168035</v>
      </c>
      <c r="J114">
        <v>2956629</v>
      </c>
      <c r="K114">
        <v>2184455</v>
      </c>
      <c r="L114">
        <v>10211</v>
      </c>
      <c r="M114">
        <v>10000</v>
      </c>
      <c r="N114">
        <v>5000</v>
      </c>
      <c r="O114">
        <v>2209666</v>
      </c>
      <c r="P114">
        <v>746963</v>
      </c>
      <c r="Q114">
        <v>2025</v>
      </c>
      <c r="R114">
        <v>10</v>
      </c>
      <c r="S114" t="s">
        <v>159</v>
      </c>
      <c r="T114">
        <v>25.26</v>
      </c>
    </row>
    <row r="115" spans="1:20" x14ac:dyDescent="0.3">
      <c r="A115" t="s">
        <v>163</v>
      </c>
      <c r="B115" s="2">
        <v>45946</v>
      </c>
      <c r="C115" t="s">
        <v>21</v>
      </c>
      <c r="D115" t="s">
        <v>39</v>
      </c>
      <c r="E115" t="s">
        <v>23</v>
      </c>
      <c r="F115" t="s">
        <v>24</v>
      </c>
      <c r="G115">
        <v>12</v>
      </c>
      <c r="H115">
        <v>33197</v>
      </c>
      <c r="I115">
        <v>21538</v>
      </c>
      <c r="J115">
        <v>398364</v>
      </c>
      <c r="K115">
        <v>258456</v>
      </c>
      <c r="L115">
        <v>17062</v>
      </c>
      <c r="M115">
        <v>20000</v>
      </c>
      <c r="N115">
        <v>8000</v>
      </c>
      <c r="O115">
        <v>303518</v>
      </c>
      <c r="P115">
        <v>94846</v>
      </c>
      <c r="Q115">
        <v>2025</v>
      </c>
      <c r="R115">
        <v>10</v>
      </c>
      <c r="S115" t="s">
        <v>159</v>
      </c>
      <c r="T115">
        <v>23.81</v>
      </c>
    </row>
    <row r="116" spans="1:20" x14ac:dyDescent="0.3">
      <c r="A116" t="s">
        <v>164</v>
      </c>
      <c r="B116" s="2">
        <v>45948</v>
      </c>
      <c r="C116" t="s">
        <v>34</v>
      </c>
      <c r="D116" t="s">
        <v>35</v>
      </c>
      <c r="E116" t="s">
        <v>36</v>
      </c>
      <c r="F116" t="s">
        <v>42</v>
      </c>
      <c r="G116">
        <v>4</v>
      </c>
      <c r="H116">
        <v>497580</v>
      </c>
      <c r="I116">
        <v>394131</v>
      </c>
      <c r="J116">
        <v>1990320</v>
      </c>
      <c r="K116">
        <v>1576524</v>
      </c>
      <c r="L116">
        <v>11376</v>
      </c>
      <c r="M116">
        <v>10000</v>
      </c>
      <c r="N116">
        <v>10000</v>
      </c>
      <c r="O116">
        <v>1607900</v>
      </c>
      <c r="P116">
        <v>382420</v>
      </c>
      <c r="Q116">
        <v>2025</v>
      </c>
      <c r="R116">
        <v>10</v>
      </c>
      <c r="S116" t="s">
        <v>159</v>
      </c>
      <c r="T116">
        <v>19.21</v>
      </c>
    </row>
    <row r="117" spans="1:20" x14ac:dyDescent="0.3">
      <c r="A117" t="s">
        <v>165</v>
      </c>
      <c r="B117" s="2">
        <v>45949</v>
      </c>
      <c r="C117" t="s">
        <v>49</v>
      </c>
      <c r="D117" t="s">
        <v>58</v>
      </c>
      <c r="E117" t="s">
        <v>29</v>
      </c>
      <c r="F117" t="s">
        <v>45</v>
      </c>
      <c r="G117">
        <v>14</v>
      </c>
      <c r="H117">
        <v>221905</v>
      </c>
      <c r="I117">
        <v>172073</v>
      </c>
      <c r="J117">
        <v>3106670</v>
      </c>
      <c r="K117">
        <v>2409022</v>
      </c>
      <c r="L117">
        <v>33036</v>
      </c>
      <c r="M117">
        <v>20000</v>
      </c>
      <c r="N117">
        <v>2000</v>
      </c>
      <c r="O117">
        <v>2464058</v>
      </c>
      <c r="P117">
        <v>642612</v>
      </c>
      <c r="Q117">
        <v>2025</v>
      </c>
      <c r="R117">
        <v>10</v>
      </c>
      <c r="S117" t="s">
        <v>159</v>
      </c>
      <c r="T117">
        <v>20.68</v>
      </c>
    </row>
    <row r="118" spans="1:20" x14ac:dyDescent="0.3">
      <c r="A118" t="s">
        <v>166</v>
      </c>
      <c r="B118" s="2">
        <v>45952</v>
      </c>
      <c r="C118" t="s">
        <v>27</v>
      </c>
      <c r="D118" t="s">
        <v>22</v>
      </c>
      <c r="E118" t="s">
        <v>23</v>
      </c>
      <c r="F118" t="s">
        <v>30</v>
      </c>
      <c r="G118">
        <v>6</v>
      </c>
      <c r="H118">
        <v>26734</v>
      </c>
      <c r="I118">
        <v>14310</v>
      </c>
      <c r="J118">
        <v>160404</v>
      </c>
      <c r="K118">
        <v>85860</v>
      </c>
      <c r="L118">
        <v>29488</v>
      </c>
      <c r="M118">
        <v>15000</v>
      </c>
      <c r="N118">
        <v>3000</v>
      </c>
      <c r="O118">
        <v>133348</v>
      </c>
      <c r="P118">
        <v>27056</v>
      </c>
      <c r="Q118">
        <v>2025</v>
      </c>
      <c r="R118">
        <v>10</v>
      </c>
      <c r="S118" t="s">
        <v>159</v>
      </c>
      <c r="T118">
        <v>16.87</v>
      </c>
    </row>
    <row r="119" spans="1:20" x14ac:dyDescent="0.3">
      <c r="A119" t="s">
        <v>167</v>
      </c>
      <c r="B119" s="2">
        <v>45958</v>
      </c>
      <c r="C119" t="s">
        <v>34</v>
      </c>
      <c r="D119" t="s">
        <v>28</v>
      </c>
      <c r="E119" t="s">
        <v>29</v>
      </c>
      <c r="F119" t="s">
        <v>30</v>
      </c>
      <c r="G119">
        <v>7</v>
      </c>
      <c r="H119">
        <v>160768</v>
      </c>
      <c r="I119">
        <v>131096</v>
      </c>
      <c r="J119">
        <v>1125376</v>
      </c>
      <c r="K119">
        <v>917672</v>
      </c>
      <c r="L119">
        <v>29430</v>
      </c>
      <c r="M119">
        <v>5000</v>
      </c>
      <c r="N119">
        <v>3000</v>
      </c>
      <c r="O119">
        <v>955102</v>
      </c>
      <c r="P119">
        <v>170274</v>
      </c>
      <c r="Q119">
        <v>2025</v>
      </c>
      <c r="R119">
        <v>10</v>
      </c>
      <c r="S119" t="s">
        <v>159</v>
      </c>
      <c r="T119">
        <v>15.13</v>
      </c>
    </row>
    <row r="120" spans="1:20" x14ac:dyDescent="0.3">
      <c r="A120" t="s">
        <v>168</v>
      </c>
      <c r="B120" s="2">
        <v>45961</v>
      </c>
      <c r="C120" t="s">
        <v>27</v>
      </c>
      <c r="D120" t="s">
        <v>58</v>
      </c>
      <c r="E120" t="s">
        <v>29</v>
      </c>
      <c r="F120" t="s">
        <v>42</v>
      </c>
      <c r="G120">
        <v>10</v>
      </c>
      <c r="H120">
        <v>250321</v>
      </c>
      <c r="I120">
        <v>167423</v>
      </c>
      <c r="J120">
        <v>2503210</v>
      </c>
      <c r="K120">
        <v>1674230</v>
      </c>
      <c r="L120">
        <v>15276</v>
      </c>
      <c r="M120">
        <v>0</v>
      </c>
      <c r="N120">
        <v>2000</v>
      </c>
      <c r="O120">
        <v>1691506</v>
      </c>
      <c r="P120">
        <v>811704</v>
      </c>
      <c r="Q120">
        <v>2025</v>
      </c>
      <c r="R120">
        <v>10</v>
      </c>
      <c r="S120" t="s">
        <v>159</v>
      </c>
      <c r="T120">
        <v>32.43</v>
      </c>
    </row>
    <row r="121" spans="1:20" x14ac:dyDescent="0.3">
      <c r="A121" t="s">
        <v>169</v>
      </c>
      <c r="B121" s="2">
        <v>45963</v>
      </c>
      <c r="C121" t="s">
        <v>32</v>
      </c>
      <c r="D121" t="s">
        <v>39</v>
      </c>
      <c r="E121" t="s">
        <v>23</v>
      </c>
      <c r="F121" t="s">
        <v>37</v>
      </c>
      <c r="G121">
        <v>2</v>
      </c>
      <c r="H121">
        <v>35202</v>
      </c>
      <c r="I121">
        <v>20724</v>
      </c>
      <c r="J121">
        <v>70404</v>
      </c>
      <c r="K121">
        <v>41448</v>
      </c>
      <c r="L121">
        <v>24860</v>
      </c>
      <c r="M121">
        <v>20000</v>
      </c>
      <c r="N121">
        <v>10000</v>
      </c>
      <c r="O121">
        <v>96308</v>
      </c>
      <c r="P121">
        <v>-25904</v>
      </c>
      <c r="Q121">
        <v>2025</v>
      </c>
      <c r="R121">
        <v>11</v>
      </c>
      <c r="S121" t="s">
        <v>170</v>
      </c>
      <c r="T121">
        <v>-36.79</v>
      </c>
    </row>
    <row r="122" spans="1:20" x14ac:dyDescent="0.3">
      <c r="A122" t="s">
        <v>171</v>
      </c>
      <c r="B122" s="2">
        <v>45969</v>
      </c>
      <c r="C122" t="s">
        <v>49</v>
      </c>
      <c r="D122" t="s">
        <v>22</v>
      </c>
      <c r="E122" t="s">
        <v>23</v>
      </c>
      <c r="F122" t="s">
        <v>37</v>
      </c>
      <c r="G122">
        <v>5</v>
      </c>
      <c r="H122">
        <v>22979</v>
      </c>
      <c r="I122">
        <v>14060</v>
      </c>
      <c r="J122">
        <v>114895</v>
      </c>
      <c r="K122">
        <v>70300</v>
      </c>
      <c r="L122">
        <v>9544</v>
      </c>
      <c r="M122">
        <v>20000</v>
      </c>
      <c r="N122">
        <v>2000</v>
      </c>
      <c r="O122">
        <v>101844</v>
      </c>
      <c r="P122">
        <v>13051</v>
      </c>
      <c r="Q122">
        <v>2025</v>
      </c>
      <c r="R122">
        <v>11</v>
      </c>
      <c r="S122" t="s">
        <v>170</v>
      </c>
      <c r="T122">
        <v>11.36</v>
      </c>
    </row>
    <row r="123" spans="1:20" x14ac:dyDescent="0.3">
      <c r="A123" t="s">
        <v>172</v>
      </c>
      <c r="B123" s="2">
        <v>45974</v>
      </c>
      <c r="C123" t="s">
        <v>34</v>
      </c>
      <c r="D123" t="s">
        <v>28</v>
      </c>
      <c r="E123" t="s">
        <v>29</v>
      </c>
      <c r="F123" t="s">
        <v>30</v>
      </c>
      <c r="G123">
        <v>1</v>
      </c>
      <c r="H123">
        <v>161607</v>
      </c>
      <c r="I123">
        <v>125548</v>
      </c>
      <c r="J123">
        <v>161607</v>
      </c>
      <c r="K123">
        <v>125548</v>
      </c>
      <c r="L123">
        <v>33174</v>
      </c>
      <c r="M123">
        <v>15000</v>
      </c>
      <c r="N123">
        <v>2000</v>
      </c>
      <c r="O123">
        <v>175722</v>
      </c>
      <c r="P123">
        <v>-14115</v>
      </c>
      <c r="Q123">
        <v>2025</v>
      </c>
      <c r="R123">
        <v>11</v>
      </c>
      <c r="S123" t="s">
        <v>170</v>
      </c>
      <c r="T123">
        <v>-8.73</v>
      </c>
    </row>
    <row r="124" spans="1:20" x14ac:dyDescent="0.3">
      <c r="A124" t="s">
        <v>173</v>
      </c>
      <c r="B124" s="2">
        <v>45977</v>
      </c>
      <c r="C124" t="s">
        <v>34</v>
      </c>
      <c r="D124" t="s">
        <v>56</v>
      </c>
      <c r="E124" t="s">
        <v>36</v>
      </c>
      <c r="F124" t="s">
        <v>24</v>
      </c>
      <c r="G124">
        <v>8</v>
      </c>
      <c r="H124">
        <v>148699</v>
      </c>
      <c r="I124">
        <v>104965</v>
      </c>
      <c r="J124">
        <v>1189592</v>
      </c>
      <c r="K124">
        <v>839720</v>
      </c>
      <c r="L124">
        <v>16404</v>
      </c>
      <c r="M124">
        <v>5000</v>
      </c>
      <c r="N124">
        <v>2000</v>
      </c>
      <c r="O124">
        <v>863124</v>
      </c>
      <c r="P124">
        <v>326468</v>
      </c>
      <c r="Q124">
        <v>2025</v>
      </c>
      <c r="R124">
        <v>11</v>
      </c>
      <c r="S124" t="s">
        <v>170</v>
      </c>
      <c r="T124">
        <v>27.44</v>
      </c>
    </row>
    <row r="125" spans="1:20" x14ac:dyDescent="0.3">
      <c r="A125" t="s">
        <v>174</v>
      </c>
      <c r="B125" s="2">
        <v>45977</v>
      </c>
      <c r="C125" t="s">
        <v>27</v>
      </c>
      <c r="D125" t="s">
        <v>28</v>
      </c>
      <c r="E125" t="s">
        <v>29</v>
      </c>
      <c r="F125" t="s">
        <v>24</v>
      </c>
      <c r="G125">
        <v>10</v>
      </c>
      <c r="H125">
        <v>181987</v>
      </c>
      <c r="I125">
        <v>125713</v>
      </c>
      <c r="J125">
        <v>1819870</v>
      </c>
      <c r="K125">
        <v>1257130</v>
      </c>
      <c r="L125">
        <v>20800</v>
      </c>
      <c r="M125">
        <v>5000</v>
      </c>
      <c r="N125">
        <v>2000</v>
      </c>
      <c r="O125">
        <v>1284930</v>
      </c>
      <c r="P125">
        <v>534940</v>
      </c>
      <c r="Q125">
        <v>2025</v>
      </c>
      <c r="R125">
        <v>11</v>
      </c>
      <c r="S125" t="s">
        <v>170</v>
      </c>
      <c r="T125">
        <v>29.39</v>
      </c>
    </row>
    <row r="126" spans="1:20" x14ac:dyDescent="0.3">
      <c r="A126" t="s">
        <v>175</v>
      </c>
      <c r="B126" s="2">
        <v>45978</v>
      </c>
      <c r="C126" t="s">
        <v>21</v>
      </c>
      <c r="D126" t="s">
        <v>58</v>
      </c>
      <c r="E126" t="s">
        <v>29</v>
      </c>
      <c r="F126" t="s">
        <v>40</v>
      </c>
      <c r="G126">
        <v>8</v>
      </c>
      <c r="H126">
        <v>248702</v>
      </c>
      <c r="I126">
        <v>175236</v>
      </c>
      <c r="J126">
        <v>1989616</v>
      </c>
      <c r="K126">
        <v>1401888</v>
      </c>
      <c r="L126">
        <v>18888</v>
      </c>
      <c r="M126">
        <v>15000</v>
      </c>
      <c r="N126">
        <v>2000</v>
      </c>
      <c r="O126">
        <v>1437776</v>
      </c>
      <c r="P126">
        <v>551840</v>
      </c>
      <c r="Q126">
        <v>2025</v>
      </c>
      <c r="R126">
        <v>11</v>
      </c>
      <c r="S126" t="s">
        <v>170</v>
      </c>
      <c r="T126">
        <v>27.74</v>
      </c>
    </row>
    <row r="127" spans="1:20" x14ac:dyDescent="0.3">
      <c r="A127" t="s">
        <v>176</v>
      </c>
      <c r="B127" s="2">
        <v>45978</v>
      </c>
      <c r="C127" t="s">
        <v>49</v>
      </c>
      <c r="D127" t="s">
        <v>39</v>
      </c>
      <c r="E127" t="s">
        <v>23</v>
      </c>
      <c r="F127" t="s">
        <v>40</v>
      </c>
      <c r="G127">
        <v>10</v>
      </c>
      <c r="H127">
        <v>31742</v>
      </c>
      <c r="I127">
        <v>21429</v>
      </c>
      <c r="J127">
        <v>317420</v>
      </c>
      <c r="K127">
        <v>214290</v>
      </c>
      <c r="L127">
        <v>18108</v>
      </c>
      <c r="M127">
        <v>0</v>
      </c>
      <c r="N127">
        <v>8000</v>
      </c>
      <c r="O127">
        <v>240398</v>
      </c>
      <c r="P127">
        <v>77022</v>
      </c>
      <c r="Q127">
        <v>2025</v>
      </c>
      <c r="R127">
        <v>11</v>
      </c>
      <c r="S127" t="s">
        <v>170</v>
      </c>
      <c r="T127">
        <v>24.27</v>
      </c>
    </row>
    <row r="128" spans="1:20" x14ac:dyDescent="0.3">
      <c r="A128" t="s">
        <v>177</v>
      </c>
      <c r="B128" s="2">
        <v>45980</v>
      </c>
      <c r="C128" t="s">
        <v>49</v>
      </c>
      <c r="D128" t="s">
        <v>58</v>
      </c>
      <c r="E128" t="s">
        <v>29</v>
      </c>
      <c r="F128" t="s">
        <v>30</v>
      </c>
      <c r="G128">
        <v>7</v>
      </c>
      <c r="H128">
        <v>232346</v>
      </c>
      <c r="I128">
        <v>178625</v>
      </c>
      <c r="J128">
        <v>1626422</v>
      </c>
      <c r="K128">
        <v>1250375</v>
      </c>
      <c r="L128">
        <v>12101</v>
      </c>
      <c r="M128">
        <v>10000</v>
      </c>
      <c r="N128">
        <v>3000</v>
      </c>
      <c r="O128">
        <v>1275476</v>
      </c>
      <c r="P128">
        <v>350946</v>
      </c>
      <c r="Q128">
        <v>2025</v>
      </c>
      <c r="R128">
        <v>11</v>
      </c>
      <c r="S128" t="s">
        <v>170</v>
      </c>
      <c r="T128">
        <v>21.58</v>
      </c>
    </row>
    <row r="129" spans="1:20" x14ac:dyDescent="0.3">
      <c r="A129" t="s">
        <v>178</v>
      </c>
      <c r="B129" s="2">
        <v>45981</v>
      </c>
      <c r="C129" t="s">
        <v>49</v>
      </c>
      <c r="D129" t="s">
        <v>58</v>
      </c>
      <c r="E129" t="s">
        <v>29</v>
      </c>
      <c r="F129" t="s">
        <v>24</v>
      </c>
      <c r="G129">
        <v>2</v>
      </c>
      <c r="H129">
        <v>219634</v>
      </c>
      <c r="I129">
        <v>178404</v>
      </c>
      <c r="J129">
        <v>439268</v>
      </c>
      <c r="K129">
        <v>356808</v>
      </c>
      <c r="L129">
        <v>17500</v>
      </c>
      <c r="M129">
        <v>20000</v>
      </c>
      <c r="N129">
        <v>2000</v>
      </c>
      <c r="O129">
        <v>396308</v>
      </c>
      <c r="P129">
        <v>42960</v>
      </c>
      <c r="Q129">
        <v>2025</v>
      </c>
      <c r="R129">
        <v>11</v>
      </c>
      <c r="S129" t="s">
        <v>170</v>
      </c>
      <c r="T129">
        <v>9.7799999999999994</v>
      </c>
    </row>
    <row r="130" spans="1:20" x14ac:dyDescent="0.3">
      <c r="A130" t="s">
        <v>179</v>
      </c>
      <c r="B130" s="2">
        <v>45986</v>
      </c>
      <c r="C130" t="s">
        <v>27</v>
      </c>
      <c r="D130" t="s">
        <v>28</v>
      </c>
      <c r="E130" t="s">
        <v>29</v>
      </c>
      <c r="F130" t="s">
        <v>30</v>
      </c>
      <c r="G130">
        <v>15</v>
      </c>
      <c r="H130">
        <v>188572</v>
      </c>
      <c r="I130">
        <v>132828</v>
      </c>
      <c r="J130">
        <v>2828580</v>
      </c>
      <c r="K130">
        <v>1992420</v>
      </c>
      <c r="L130">
        <v>12609</v>
      </c>
      <c r="M130">
        <v>20000</v>
      </c>
      <c r="N130">
        <v>2000</v>
      </c>
      <c r="O130">
        <v>2027029</v>
      </c>
      <c r="P130">
        <v>801551</v>
      </c>
      <c r="Q130">
        <v>2025</v>
      </c>
      <c r="R130">
        <v>11</v>
      </c>
      <c r="S130" t="s">
        <v>170</v>
      </c>
      <c r="T130">
        <v>28.34</v>
      </c>
    </row>
    <row r="131" spans="1:20" x14ac:dyDescent="0.3">
      <c r="A131" t="s">
        <v>180</v>
      </c>
      <c r="B131" s="2">
        <v>45987</v>
      </c>
      <c r="C131" t="s">
        <v>49</v>
      </c>
      <c r="D131" t="s">
        <v>56</v>
      </c>
      <c r="E131" t="s">
        <v>36</v>
      </c>
      <c r="F131" t="s">
        <v>24</v>
      </c>
      <c r="G131">
        <v>8</v>
      </c>
      <c r="H131">
        <v>141221</v>
      </c>
      <c r="I131">
        <v>105654</v>
      </c>
      <c r="J131">
        <v>1129768</v>
      </c>
      <c r="K131">
        <v>845232</v>
      </c>
      <c r="L131">
        <v>36394</v>
      </c>
      <c r="M131">
        <v>5000</v>
      </c>
      <c r="N131">
        <v>2000</v>
      </c>
      <c r="O131">
        <v>888626</v>
      </c>
      <c r="P131">
        <v>241142</v>
      </c>
      <c r="Q131">
        <v>2025</v>
      </c>
      <c r="R131">
        <v>11</v>
      </c>
      <c r="S131" t="s">
        <v>170</v>
      </c>
      <c r="T131">
        <v>21.34</v>
      </c>
    </row>
    <row r="132" spans="1:20" x14ac:dyDescent="0.3">
      <c r="A132" t="s">
        <v>181</v>
      </c>
      <c r="B132" s="2">
        <v>45988</v>
      </c>
      <c r="C132" t="s">
        <v>34</v>
      </c>
      <c r="D132" t="s">
        <v>39</v>
      </c>
      <c r="E132" t="s">
        <v>23</v>
      </c>
      <c r="F132" t="s">
        <v>45</v>
      </c>
      <c r="G132">
        <v>1</v>
      </c>
      <c r="H132">
        <v>31013</v>
      </c>
      <c r="I132">
        <v>22172</v>
      </c>
      <c r="J132">
        <v>31013</v>
      </c>
      <c r="K132">
        <v>22172</v>
      </c>
      <c r="L132">
        <v>29810</v>
      </c>
      <c r="M132">
        <v>20000</v>
      </c>
      <c r="N132">
        <v>2000</v>
      </c>
      <c r="O132">
        <v>73982</v>
      </c>
      <c r="P132">
        <v>-42969</v>
      </c>
      <c r="Q132">
        <v>2025</v>
      </c>
      <c r="R132">
        <v>11</v>
      </c>
      <c r="S132" t="s">
        <v>170</v>
      </c>
      <c r="T132">
        <v>-138.55000000000001</v>
      </c>
    </row>
    <row r="133" spans="1:20" x14ac:dyDescent="0.3">
      <c r="A133" t="s">
        <v>182</v>
      </c>
      <c r="B133" s="2">
        <v>45990</v>
      </c>
      <c r="C133" t="s">
        <v>32</v>
      </c>
      <c r="D133" t="s">
        <v>39</v>
      </c>
      <c r="E133" t="s">
        <v>23</v>
      </c>
      <c r="F133" t="s">
        <v>45</v>
      </c>
      <c r="G133">
        <v>2</v>
      </c>
      <c r="H133">
        <v>34995</v>
      </c>
      <c r="I133">
        <v>20309</v>
      </c>
      <c r="J133">
        <v>69990</v>
      </c>
      <c r="K133">
        <v>40618</v>
      </c>
      <c r="L133">
        <v>37151</v>
      </c>
      <c r="M133">
        <v>20000</v>
      </c>
      <c r="N133">
        <v>2000</v>
      </c>
      <c r="O133">
        <v>99769</v>
      </c>
      <c r="P133">
        <v>-29779</v>
      </c>
      <c r="Q133">
        <v>2025</v>
      </c>
      <c r="R133">
        <v>11</v>
      </c>
      <c r="S133" t="s">
        <v>170</v>
      </c>
      <c r="T133">
        <v>-42.55</v>
      </c>
    </row>
    <row r="134" spans="1:20" x14ac:dyDescent="0.3">
      <c r="A134" t="s">
        <v>183</v>
      </c>
      <c r="B134" s="2">
        <v>45990</v>
      </c>
      <c r="C134" t="s">
        <v>32</v>
      </c>
      <c r="D134" t="s">
        <v>58</v>
      </c>
      <c r="E134" t="s">
        <v>29</v>
      </c>
      <c r="F134" t="s">
        <v>30</v>
      </c>
      <c r="G134">
        <v>8</v>
      </c>
      <c r="H134">
        <v>238343</v>
      </c>
      <c r="I134">
        <v>183956</v>
      </c>
      <c r="J134">
        <v>1906744</v>
      </c>
      <c r="K134">
        <v>1471648</v>
      </c>
      <c r="L134">
        <v>9859</v>
      </c>
      <c r="M134">
        <v>15000</v>
      </c>
      <c r="N134">
        <v>2000</v>
      </c>
      <c r="O134">
        <v>1498507</v>
      </c>
      <c r="P134">
        <v>408237</v>
      </c>
      <c r="Q134">
        <v>2025</v>
      </c>
      <c r="R134">
        <v>11</v>
      </c>
      <c r="S134" t="s">
        <v>170</v>
      </c>
      <c r="T134">
        <v>21.41</v>
      </c>
    </row>
    <row r="135" spans="1:20" x14ac:dyDescent="0.3">
      <c r="A135" t="s">
        <v>184</v>
      </c>
      <c r="B135" s="2">
        <v>45990</v>
      </c>
      <c r="C135" t="s">
        <v>32</v>
      </c>
      <c r="D135" t="s">
        <v>56</v>
      </c>
      <c r="E135" t="s">
        <v>36</v>
      </c>
      <c r="F135" t="s">
        <v>45</v>
      </c>
      <c r="G135">
        <v>9</v>
      </c>
      <c r="H135">
        <v>138361</v>
      </c>
      <c r="I135">
        <v>105589</v>
      </c>
      <c r="J135">
        <v>1245249</v>
      </c>
      <c r="K135">
        <v>950301</v>
      </c>
      <c r="L135">
        <v>23870</v>
      </c>
      <c r="M135">
        <v>0</v>
      </c>
      <c r="N135">
        <v>2000</v>
      </c>
      <c r="O135">
        <v>976171</v>
      </c>
      <c r="P135">
        <v>269078</v>
      </c>
      <c r="Q135">
        <v>2025</v>
      </c>
      <c r="R135">
        <v>11</v>
      </c>
      <c r="S135" t="s">
        <v>170</v>
      </c>
      <c r="T135">
        <v>21.61</v>
      </c>
    </row>
    <row r="136" spans="1:20" x14ac:dyDescent="0.3">
      <c r="A136" t="s">
        <v>185</v>
      </c>
      <c r="B136" s="2">
        <v>45990</v>
      </c>
      <c r="C136" t="s">
        <v>21</v>
      </c>
      <c r="D136" t="s">
        <v>35</v>
      </c>
      <c r="E136" t="s">
        <v>36</v>
      </c>
      <c r="F136" t="s">
        <v>42</v>
      </c>
      <c r="G136">
        <v>14</v>
      </c>
      <c r="H136">
        <v>471491</v>
      </c>
      <c r="I136">
        <v>384033</v>
      </c>
      <c r="J136">
        <v>6600874</v>
      </c>
      <c r="K136">
        <v>5376462</v>
      </c>
      <c r="L136">
        <v>17216</v>
      </c>
      <c r="M136">
        <v>0</v>
      </c>
      <c r="N136">
        <v>3000</v>
      </c>
      <c r="O136">
        <v>5396678</v>
      </c>
      <c r="P136">
        <v>1204196</v>
      </c>
      <c r="Q136">
        <v>2025</v>
      </c>
      <c r="R136">
        <v>11</v>
      </c>
      <c r="S136" t="s">
        <v>170</v>
      </c>
      <c r="T136">
        <v>18.239999999999998</v>
      </c>
    </row>
    <row r="137" spans="1:20" x14ac:dyDescent="0.3">
      <c r="A137" t="s">
        <v>186</v>
      </c>
      <c r="B137" s="2">
        <v>45993</v>
      </c>
      <c r="C137" t="s">
        <v>27</v>
      </c>
      <c r="D137" t="s">
        <v>35</v>
      </c>
      <c r="E137" t="s">
        <v>36</v>
      </c>
      <c r="F137" t="s">
        <v>42</v>
      </c>
      <c r="G137">
        <v>8</v>
      </c>
      <c r="H137">
        <v>543183</v>
      </c>
      <c r="I137">
        <v>378037</v>
      </c>
      <c r="J137">
        <v>4345464</v>
      </c>
      <c r="K137">
        <v>3024296</v>
      </c>
      <c r="L137">
        <v>17458</v>
      </c>
      <c r="M137">
        <v>20000</v>
      </c>
      <c r="N137">
        <v>3000</v>
      </c>
      <c r="O137">
        <v>3064754</v>
      </c>
      <c r="P137">
        <v>1280710</v>
      </c>
      <c r="Q137">
        <v>2025</v>
      </c>
      <c r="R137">
        <v>12</v>
      </c>
      <c r="S137" t="s">
        <v>187</v>
      </c>
      <c r="T137">
        <v>29.47</v>
      </c>
    </row>
    <row r="138" spans="1:20" x14ac:dyDescent="0.3">
      <c r="A138" t="s">
        <v>188</v>
      </c>
      <c r="B138" s="2">
        <v>46000</v>
      </c>
      <c r="C138" t="s">
        <v>34</v>
      </c>
      <c r="D138" t="s">
        <v>35</v>
      </c>
      <c r="E138" t="s">
        <v>36</v>
      </c>
      <c r="F138" t="s">
        <v>24</v>
      </c>
      <c r="G138">
        <v>2</v>
      </c>
      <c r="H138">
        <v>492360</v>
      </c>
      <c r="I138">
        <v>387084</v>
      </c>
      <c r="J138">
        <v>984720</v>
      </c>
      <c r="K138">
        <v>774168</v>
      </c>
      <c r="L138">
        <v>16571</v>
      </c>
      <c r="M138">
        <v>20000</v>
      </c>
      <c r="N138">
        <v>3000</v>
      </c>
      <c r="O138">
        <v>813739</v>
      </c>
      <c r="P138">
        <v>170981</v>
      </c>
      <c r="Q138">
        <v>2025</v>
      </c>
      <c r="R138">
        <v>12</v>
      </c>
      <c r="S138" t="s">
        <v>187</v>
      </c>
      <c r="T138">
        <v>17.36</v>
      </c>
    </row>
    <row r="139" spans="1:20" x14ac:dyDescent="0.3">
      <c r="A139" t="s">
        <v>189</v>
      </c>
      <c r="B139" s="2">
        <v>46002</v>
      </c>
      <c r="C139" t="s">
        <v>21</v>
      </c>
      <c r="D139" t="s">
        <v>39</v>
      </c>
      <c r="E139" t="s">
        <v>23</v>
      </c>
      <c r="F139" t="s">
        <v>45</v>
      </c>
      <c r="G139">
        <v>10</v>
      </c>
      <c r="H139">
        <v>33356</v>
      </c>
      <c r="I139">
        <v>20325</v>
      </c>
      <c r="J139">
        <v>333560</v>
      </c>
      <c r="K139">
        <v>203250</v>
      </c>
      <c r="L139">
        <v>34629</v>
      </c>
      <c r="M139">
        <v>20000</v>
      </c>
      <c r="N139">
        <v>3000</v>
      </c>
      <c r="O139">
        <v>260879</v>
      </c>
      <c r="P139">
        <v>72681</v>
      </c>
      <c r="Q139">
        <v>2025</v>
      </c>
      <c r="R139">
        <v>12</v>
      </c>
      <c r="S139" t="s">
        <v>187</v>
      </c>
      <c r="T139">
        <v>21.79</v>
      </c>
    </row>
    <row r="140" spans="1:20" x14ac:dyDescent="0.3">
      <c r="A140" t="s">
        <v>190</v>
      </c>
      <c r="B140" s="2">
        <v>46005</v>
      </c>
      <c r="C140" t="s">
        <v>21</v>
      </c>
      <c r="D140" t="s">
        <v>35</v>
      </c>
      <c r="E140" t="s">
        <v>36</v>
      </c>
      <c r="F140" t="s">
        <v>37</v>
      </c>
      <c r="G140">
        <v>4</v>
      </c>
      <c r="H140">
        <v>482541</v>
      </c>
      <c r="I140">
        <v>389746</v>
      </c>
      <c r="J140">
        <v>1930164</v>
      </c>
      <c r="K140">
        <v>1558984</v>
      </c>
      <c r="L140">
        <v>23530</v>
      </c>
      <c r="M140">
        <v>5000</v>
      </c>
      <c r="N140">
        <v>5000</v>
      </c>
      <c r="O140">
        <v>1592514</v>
      </c>
      <c r="P140">
        <v>337650</v>
      </c>
      <c r="Q140">
        <v>2025</v>
      </c>
      <c r="R140">
        <v>12</v>
      </c>
      <c r="S140" t="s">
        <v>187</v>
      </c>
      <c r="T140">
        <v>17.489999999999998</v>
      </c>
    </row>
    <row r="141" spans="1:20" x14ac:dyDescent="0.3">
      <c r="A141" t="s">
        <v>191</v>
      </c>
      <c r="B141" s="2">
        <v>46006</v>
      </c>
      <c r="C141" t="s">
        <v>21</v>
      </c>
      <c r="D141" t="s">
        <v>39</v>
      </c>
      <c r="E141" t="s">
        <v>23</v>
      </c>
      <c r="F141" t="s">
        <v>24</v>
      </c>
      <c r="G141">
        <v>6</v>
      </c>
      <c r="H141">
        <v>35636</v>
      </c>
      <c r="I141">
        <v>20688</v>
      </c>
      <c r="J141">
        <v>213816</v>
      </c>
      <c r="K141">
        <v>124128</v>
      </c>
      <c r="L141">
        <v>20396</v>
      </c>
      <c r="M141">
        <v>15000</v>
      </c>
      <c r="N141">
        <v>3000</v>
      </c>
      <c r="O141">
        <v>162524</v>
      </c>
      <c r="P141">
        <v>51292</v>
      </c>
      <c r="Q141">
        <v>2025</v>
      </c>
      <c r="R141">
        <v>12</v>
      </c>
      <c r="S141" t="s">
        <v>187</v>
      </c>
      <c r="T141">
        <v>23.99</v>
      </c>
    </row>
    <row r="142" spans="1:20" x14ac:dyDescent="0.3">
      <c r="A142" t="s">
        <v>192</v>
      </c>
      <c r="B142" s="2">
        <v>46015</v>
      </c>
      <c r="C142" t="s">
        <v>49</v>
      </c>
      <c r="D142" t="s">
        <v>35</v>
      </c>
      <c r="E142" t="s">
        <v>36</v>
      </c>
      <c r="F142" t="s">
        <v>30</v>
      </c>
      <c r="G142">
        <v>1</v>
      </c>
      <c r="H142">
        <v>471072</v>
      </c>
      <c r="I142">
        <v>386543</v>
      </c>
      <c r="J142">
        <v>471072</v>
      </c>
      <c r="K142">
        <v>386543</v>
      </c>
      <c r="L142">
        <v>22066</v>
      </c>
      <c r="M142">
        <v>0</v>
      </c>
      <c r="N142">
        <v>5000</v>
      </c>
      <c r="O142">
        <v>413609</v>
      </c>
      <c r="P142">
        <v>57463</v>
      </c>
      <c r="Q142">
        <v>2025</v>
      </c>
      <c r="R142">
        <v>12</v>
      </c>
      <c r="S142" t="s">
        <v>187</v>
      </c>
      <c r="T142">
        <v>12.2</v>
      </c>
    </row>
    <row r="143" spans="1:20" x14ac:dyDescent="0.3">
      <c r="A143" t="s">
        <v>193</v>
      </c>
      <c r="B143" s="2">
        <v>46027</v>
      </c>
      <c r="C143" t="s">
        <v>34</v>
      </c>
      <c r="D143" t="s">
        <v>58</v>
      </c>
      <c r="E143" t="s">
        <v>29</v>
      </c>
      <c r="F143" t="s">
        <v>24</v>
      </c>
      <c r="G143">
        <v>1</v>
      </c>
      <c r="H143">
        <v>231932</v>
      </c>
      <c r="I143">
        <v>168687</v>
      </c>
      <c r="J143">
        <v>231932</v>
      </c>
      <c r="K143">
        <v>168687</v>
      </c>
      <c r="L143">
        <v>8114</v>
      </c>
      <c r="M143">
        <v>0</v>
      </c>
      <c r="N143">
        <v>10000</v>
      </c>
      <c r="O143">
        <v>186801</v>
      </c>
      <c r="P143">
        <v>45131</v>
      </c>
      <c r="Q143">
        <v>2026</v>
      </c>
      <c r="R143">
        <v>1</v>
      </c>
      <c r="S143" t="s">
        <v>25</v>
      </c>
      <c r="T143">
        <v>19.46</v>
      </c>
    </row>
    <row r="144" spans="1:20" x14ac:dyDescent="0.3">
      <c r="A144" t="s">
        <v>194</v>
      </c>
      <c r="B144" s="2">
        <v>46028</v>
      </c>
      <c r="C144" t="s">
        <v>32</v>
      </c>
      <c r="D144" t="s">
        <v>39</v>
      </c>
      <c r="E144" t="s">
        <v>23</v>
      </c>
      <c r="F144" t="s">
        <v>24</v>
      </c>
      <c r="G144">
        <v>2</v>
      </c>
      <c r="H144">
        <v>33008</v>
      </c>
      <c r="I144">
        <v>20462</v>
      </c>
      <c r="J144">
        <v>66016</v>
      </c>
      <c r="K144">
        <v>40924</v>
      </c>
      <c r="L144">
        <v>31444</v>
      </c>
      <c r="M144">
        <v>0</v>
      </c>
      <c r="N144">
        <v>10000</v>
      </c>
      <c r="O144">
        <v>82368</v>
      </c>
      <c r="P144">
        <v>-16352</v>
      </c>
      <c r="Q144">
        <v>2026</v>
      </c>
      <c r="R144">
        <v>1</v>
      </c>
      <c r="S144" t="s">
        <v>25</v>
      </c>
      <c r="T144">
        <v>-24.77</v>
      </c>
    </row>
    <row r="145" spans="1:20" x14ac:dyDescent="0.3">
      <c r="A145" t="s">
        <v>195</v>
      </c>
      <c r="B145" s="2">
        <v>46028</v>
      </c>
      <c r="C145" t="s">
        <v>21</v>
      </c>
      <c r="D145" t="s">
        <v>39</v>
      </c>
      <c r="E145" t="s">
        <v>23</v>
      </c>
      <c r="F145" t="s">
        <v>40</v>
      </c>
      <c r="G145">
        <v>12</v>
      </c>
      <c r="H145">
        <v>31911</v>
      </c>
      <c r="I145">
        <v>21478</v>
      </c>
      <c r="J145">
        <v>382932</v>
      </c>
      <c r="K145">
        <v>257736</v>
      </c>
      <c r="L145">
        <v>18102</v>
      </c>
      <c r="M145">
        <v>0</v>
      </c>
      <c r="N145">
        <v>3000</v>
      </c>
      <c r="O145">
        <v>278838</v>
      </c>
      <c r="P145">
        <v>104094</v>
      </c>
      <c r="Q145">
        <v>2026</v>
      </c>
      <c r="R145">
        <v>1</v>
      </c>
      <c r="S145" t="s">
        <v>25</v>
      </c>
      <c r="T145">
        <v>27.18</v>
      </c>
    </row>
    <row r="146" spans="1:20" x14ac:dyDescent="0.3">
      <c r="A146" t="s">
        <v>196</v>
      </c>
      <c r="B146" s="2">
        <v>46028</v>
      </c>
      <c r="C146" t="s">
        <v>49</v>
      </c>
      <c r="D146" t="s">
        <v>22</v>
      </c>
      <c r="E146" t="s">
        <v>23</v>
      </c>
      <c r="F146" t="s">
        <v>42</v>
      </c>
      <c r="G146">
        <v>12</v>
      </c>
      <c r="H146">
        <v>21872</v>
      </c>
      <c r="I146">
        <v>13571</v>
      </c>
      <c r="J146">
        <v>262464</v>
      </c>
      <c r="K146">
        <v>162852</v>
      </c>
      <c r="L146">
        <v>27620</v>
      </c>
      <c r="M146">
        <v>10000</v>
      </c>
      <c r="N146">
        <v>10000</v>
      </c>
      <c r="O146">
        <v>210472</v>
      </c>
      <c r="P146">
        <v>51992</v>
      </c>
      <c r="Q146">
        <v>2026</v>
      </c>
      <c r="R146">
        <v>1</v>
      </c>
      <c r="S146" t="s">
        <v>25</v>
      </c>
      <c r="T146">
        <v>19.809999999999999</v>
      </c>
    </row>
    <row r="147" spans="1:20" x14ac:dyDescent="0.3">
      <c r="A147" t="s">
        <v>197</v>
      </c>
      <c r="B147" s="2">
        <v>46035</v>
      </c>
      <c r="C147" t="s">
        <v>32</v>
      </c>
      <c r="D147" t="s">
        <v>56</v>
      </c>
      <c r="E147" t="s">
        <v>36</v>
      </c>
      <c r="F147" t="s">
        <v>42</v>
      </c>
      <c r="G147">
        <v>3</v>
      </c>
      <c r="H147">
        <v>144620</v>
      </c>
      <c r="I147">
        <v>100746</v>
      </c>
      <c r="J147">
        <v>433860</v>
      </c>
      <c r="K147">
        <v>302238</v>
      </c>
      <c r="L147">
        <v>18918</v>
      </c>
      <c r="M147">
        <v>15000</v>
      </c>
      <c r="N147">
        <v>8000</v>
      </c>
      <c r="O147">
        <v>344156</v>
      </c>
      <c r="P147">
        <v>89704</v>
      </c>
      <c r="Q147">
        <v>2026</v>
      </c>
      <c r="R147">
        <v>1</v>
      </c>
      <c r="S147" t="s">
        <v>25</v>
      </c>
      <c r="T147">
        <v>20.68</v>
      </c>
    </row>
    <row r="148" spans="1:20" x14ac:dyDescent="0.3">
      <c r="A148" t="s">
        <v>198</v>
      </c>
      <c r="B148" s="2">
        <v>46036</v>
      </c>
      <c r="C148" t="s">
        <v>32</v>
      </c>
      <c r="D148" t="s">
        <v>39</v>
      </c>
      <c r="E148" t="s">
        <v>23</v>
      </c>
      <c r="F148" t="s">
        <v>30</v>
      </c>
      <c r="G148">
        <v>3</v>
      </c>
      <c r="H148">
        <v>32906</v>
      </c>
      <c r="I148">
        <v>20047</v>
      </c>
      <c r="J148">
        <v>98718</v>
      </c>
      <c r="K148">
        <v>60141</v>
      </c>
      <c r="L148">
        <v>21185</v>
      </c>
      <c r="M148">
        <v>0</v>
      </c>
      <c r="N148">
        <v>5000</v>
      </c>
      <c r="O148">
        <v>86326</v>
      </c>
      <c r="P148">
        <v>12392</v>
      </c>
      <c r="Q148">
        <v>2026</v>
      </c>
      <c r="R148">
        <v>1</v>
      </c>
      <c r="S148" t="s">
        <v>25</v>
      </c>
      <c r="T148">
        <v>12.55</v>
      </c>
    </row>
    <row r="149" spans="1:20" x14ac:dyDescent="0.3">
      <c r="A149" t="s">
        <v>199</v>
      </c>
      <c r="B149" s="2">
        <v>46040</v>
      </c>
      <c r="C149" t="s">
        <v>32</v>
      </c>
      <c r="D149" t="s">
        <v>28</v>
      </c>
      <c r="E149" t="s">
        <v>29</v>
      </c>
      <c r="F149" t="s">
        <v>40</v>
      </c>
      <c r="G149">
        <v>6</v>
      </c>
      <c r="H149">
        <v>176932</v>
      </c>
      <c r="I149">
        <v>126347</v>
      </c>
      <c r="J149">
        <v>1061592</v>
      </c>
      <c r="K149">
        <v>758082</v>
      </c>
      <c r="L149">
        <v>27102</v>
      </c>
      <c r="M149">
        <v>15000</v>
      </c>
      <c r="N149">
        <v>10000</v>
      </c>
      <c r="O149">
        <v>810184</v>
      </c>
      <c r="P149">
        <v>251408</v>
      </c>
      <c r="Q149">
        <v>2026</v>
      </c>
      <c r="R149">
        <v>1</v>
      </c>
      <c r="S149" t="s">
        <v>25</v>
      </c>
      <c r="T149">
        <v>23.68</v>
      </c>
    </row>
    <row r="150" spans="1:20" x14ac:dyDescent="0.3">
      <c r="A150" t="s">
        <v>200</v>
      </c>
      <c r="B150" s="2">
        <v>46044</v>
      </c>
      <c r="C150" t="s">
        <v>34</v>
      </c>
      <c r="D150" t="s">
        <v>56</v>
      </c>
      <c r="E150" t="s">
        <v>36</v>
      </c>
      <c r="F150" t="s">
        <v>37</v>
      </c>
      <c r="G150">
        <v>14</v>
      </c>
      <c r="H150">
        <v>134814</v>
      </c>
      <c r="I150">
        <v>107806</v>
      </c>
      <c r="J150">
        <v>1887396</v>
      </c>
      <c r="K150">
        <v>1509284</v>
      </c>
      <c r="L150">
        <v>29670</v>
      </c>
      <c r="M150">
        <v>15000</v>
      </c>
      <c r="N150">
        <v>3000</v>
      </c>
      <c r="O150">
        <v>1556954</v>
      </c>
      <c r="P150">
        <v>330442</v>
      </c>
      <c r="Q150">
        <v>2026</v>
      </c>
      <c r="R150">
        <v>1</v>
      </c>
      <c r="S150" t="s">
        <v>25</v>
      </c>
      <c r="T150">
        <v>17.510000000000002</v>
      </c>
    </row>
    <row r="151" spans="1:20" x14ac:dyDescent="0.3">
      <c r="A151" t="s">
        <v>201</v>
      </c>
      <c r="B151" s="2">
        <v>46046</v>
      </c>
      <c r="C151" t="s">
        <v>49</v>
      </c>
      <c r="D151" t="s">
        <v>28</v>
      </c>
      <c r="E151" t="s">
        <v>29</v>
      </c>
      <c r="F151" t="s">
        <v>24</v>
      </c>
      <c r="G151">
        <v>5</v>
      </c>
      <c r="H151">
        <v>173118</v>
      </c>
      <c r="I151">
        <v>130225</v>
      </c>
      <c r="J151">
        <v>865590</v>
      </c>
      <c r="K151">
        <v>651125</v>
      </c>
      <c r="L151">
        <v>36930</v>
      </c>
      <c r="M151">
        <v>20000</v>
      </c>
      <c r="N151">
        <v>2000</v>
      </c>
      <c r="O151">
        <v>710055</v>
      </c>
      <c r="P151">
        <v>155535</v>
      </c>
      <c r="Q151">
        <v>2026</v>
      </c>
      <c r="R151">
        <v>1</v>
      </c>
      <c r="S151" t="s">
        <v>25</v>
      </c>
      <c r="T151">
        <v>17.97</v>
      </c>
    </row>
    <row r="152" spans="1:20" x14ac:dyDescent="0.3">
      <c r="A152" t="s">
        <v>202</v>
      </c>
      <c r="B152" s="2">
        <v>46047</v>
      </c>
      <c r="C152" t="s">
        <v>21</v>
      </c>
      <c r="D152" t="s">
        <v>58</v>
      </c>
      <c r="E152" t="s">
        <v>29</v>
      </c>
      <c r="F152" t="s">
        <v>24</v>
      </c>
      <c r="G152">
        <v>1</v>
      </c>
      <c r="H152">
        <v>235045</v>
      </c>
      <c r="I152">
        <v>179735</v>
      </c>
      <c r="J152">
        <v>235045</v>
      </c>
      <c r="K152">
        <v>179735</v>
      </c>
      <c r="L152">
        <v>14064</v>
      </c>
      <c r="M152">
        <v>0</v>
      </c>
      <c r="N152">
        <v>8000</v>
      </c>
      <c r="O152">
        <v>201799</v>
      </c>
      <c r="P152">
        <v>33246</v>
      </c>
      <c r="Q152">
        <v>2026</v>
      </c>
      <c r="R152">
        <v>1</v>
      </c>
      <c r="S152" t="s">
        <v>25</v>
      </c>
      <c r="T152">
        <v>14.14</v>
      </c>
    </row>
    <row r="153" spans="1:20" x14ac:dyDescent="0.3">
      <c r="A153" t="s">
        <v>203</v>
      </c>
      <c r="B153" s="2">
        <v>46047</v>
      </c>
      <c r="C153" t="s">
        <v>49</v>
      </c>
      <c r="D153" t="s">
        <v>28</v>
      </c>
      <c r="E153" t="s">
        <v>29</v>
      </c>
      <c r="F153" t="s">
        <v>45</v>
      </c>
      <c r="G153">
        <v>11</v>
      </c>
      <c r="H153">
        <v>173100</v>
      </c>
      <c r="I153">
        <v>125826</v>
      </c>
      <c r="J153">
        <v>1904100</v>
      </c>
      <c r="K153">
        <v>1384086</v>
      </c>
      <c r="L153">
        <v>20801</v>
      </c>
      <c r="M153">
        <v>5000</v>
      </c>
      <c r="N153">
        <v>5000</v>
      </c>
      <c r="O153">
        <v>1414887</v>
      </c>
      <c r="P153">
        <v>489213</v>
      </c>
      <c r="Q153">
        <v>2026</v>
      </c>
      <c r="R153">
        <v>1</v>
      </c>
      <c r="S153" t="s">
        <v>25</v>
      </c>
      <c r="T153">
        <v>25.69</v>
      </c>
    </row>
    <row r="154" spans="1:20" x14ac:dyDescent="0.3">
      <c r="A154" t="s">
        <v>204</v>
      </c>
      <c r="B154" s="2">
        <v>46051</v>
      </c>
      <c r="C154" t="s">
        <v>27</v>
      </c>
      <c r="D154" t="s">
        <v>56</v>
      </c>
      <c r="E154" t="s">
        <v>36</v>
      </c>
      <c r="F154" t="s">
        <v>45</v>
      </c>
      <c r="G154">
        <v>4</v>
      </c>
      <c r="H154">
        <v>149009</v>
      </c>
      <c r="I154">
        <v>103896</v>
      </c>
      <c r="J154">
        <v>596036</v>
      </c>
      <c r="K154">
        <v>415584</v>
      </c>
      <c r="L154">
        <v>14695</v>
      </c>
      <c r="M154">
        <v>10000</v>
      </c>
      <c r="N154">
        <v>2000</v>
      </c>
      <c r="O154">
        <v>442279</v>
      </c>
      <c r="P154">
        <v>153757</v>
      </c>
      <c r="Q154">
        <v>2026</v>
      </c>
      <c r="R154">
        <v>1</v>
      </c>
      <c r="S154" t="s">
        <v>25</v>
      </c>
      <c r="T154">
        <v>25.8</v>
      </c>
    </row>
    <row r="155" spans="1:20" x14ac:dyDescent="0.3">
      <c r="A155" t="s">
        <v>205</v>
      </c>
      <c r="B155" s="2">
        <v>46057</v>
      </c>
      <c r="C155" t="s">
        <v>49</v>
      </c>
      <c r="D155" t="s">
        <v>28</v>
      </c>
      <c r="E155" t="s">
        <v>29</v>
      </c>
      <c r="F155" t="s">
        <v>30</v>
      </c>
      <c r="G155">
        <v>5</v>
      </c>
      <c r="H155">
        <v>163672</v>
      </c>
      <c r="I155">
        <v>137190</v>
      </c>
      <c r="J155">
        <v>818360</v>
      </c>
      <c r="K155">
        <v>685950</v>
      </c>
      <c r="L155">
        <v>29014</v>
      </c>
      <c r="M155">
        <v>15000</v>
      </c>
      <c r="N155">
        <v>3000</v>
      </c>
      <c r="O155">
        <v>732964</v>
      </c>
      <c r="P155">
        <v>85396</v>
      </c>
      <c r="Q155">
        <v>2026</v>
      </c>
      <c r="R155">
        <v>2</v>
      </c>
      <c r="S155" t="s">
        <v>46</v>
      </c>
      <c r="T155">
        <v>10.44</v>
      </c>
    </row>
    <row r="156" spans="1:20" x14ac:dyDescent="0.3">
      <c r="A156" t="s">
        <v>206</v>
      </c>
      <c r="B156" s="2">
        <v>46060</v>
      </c>
      <c r="C156" t="s">
        <v>49</v>
      </c>
      <c r="D156" t="s">
        <v>39</v>
      </c>
      <c r="E156" t="s">
        <v>23</v>
      </c>
      <c r="F156" t="s">
        <v>42</v>
      </c>
      <c r="G156">
        <v>4</v>
      </c>
      <c r="H156">
        <v>30898</v>
      </c>
      <c r="I156">
        <v>20765</v>
      </c>
      <c r="J156">
        <v>123592</v>
      </c>
      <c r="K156">
        <v>83060</v>
      </c>
      <c r="L156">
        <v>8320</v>
      </c>
      <c r="M156">
        <v>10000</v>
      </c>
      <c r="N156">
        <v>8000</v>
      </c>
      <c r="O156">
        <v>109380</v>
      </c>
      <c r="P156">
        <v>14212</v>
      </c>
      <c r="Q156">
        <v>2026</v>
      </c>
      <c r="R156">
        <v>2</v>
      </c>
      <c r="S156" t="s">
        <v>46</v>
      </c>
      <c r="T156">
        <v>11.5</v>
      </c>
    </row>
    <row r="157" spans="1:20" x14ac:dyDescent="0.3">
      <c r="A157" t="s">
        <v>207</v>
      </c>
      <c r="B157" s="2">
        <v>46063</v>
      </c>
      <c r="C157" t="s">
        <v>27</v>
      </c>
      <c r="D157" t="s">
        <v>28</v>
      </c>
      <c r="E157" t="s">
        <v>29</v>
      </c>
      <c r="F157" t="s">
        <v>24</v>
      </c>
      <c r="G157">
        <v>10</v>
      </c>
      <c r="H157">
        <v>191000</v>
      </c>
      <c r="I157">
        <v>134630</v>
      </c>
      <c r="J157">
        <v>1910000</v>
      </c>
      <c r="K157">
        <v>1346300</v>
      </c>
      <c r="L157">
        <v>6607</v>
      </c>
      <c r="M157">
        <v>20000</v>
      </c>
      <c r="N157">
        <v>8000</v>
      </c>
      <c r="O157">
        <v>1380907</v>
      </c>
      <c r="P157">
        <v>529093</v>
      </c>
      <c r="Q157">
        <v>2026</v>
      </c>
      <c r="R157">
        <v>2</v>
      </c>
      <c r="S157" t="s">
        <v>46</v>
      </c>
      <c r="T157">
        <v>27.7</v>
      </c>
    </row>
    <row r="158" spans="1:20" x14ac:dyDescent="0.3">
      <c r="A158" t="s">
        <v>208</v>
      </c>
      <c r="B158" s="2">
        <v>46063</v>
      </c>
      <c r="C158" t="s">
        <v>34</v>
      </c>
      <c r="D158" t="s">
        <v>58</v>
      </c>
      <c r="E158" t="s">
        <v>29</v>
      </c>
      <c r="F158" t="s">
        <v>42</v>
      </c>
      <c r="G158">
        <v>8</v>
      </c>
      <c r="H158">
        <v>219688</v>
      </c>
      <c r="I158">
        <v>180723</v>
      </c>
      <c r="J158">
        <v>1757504</v>
      </c>
      <c r="K158">
        <v>1445784</v>
      </c>
      <c r="L158">
        <v>9221</v>
      </c>
      <c r="M158">
        <v>0</v>
      </c>
      <c r="N158">
        <v>8000</v>
      </c>
      <c r="O158">
        <v>1463005</v>
      </c>
      <c r="P158">
        <v>294499</v>
      </c>
      <c r="Q158">
        <v>2026</v>
      </c>
      <c r="R158">
        <v>2</v>
      </c>
      <c r="S158" t="s">
        <v>46</v>
      </c>
      <c r="T158">
        <v>16.760000000000002</v>
      </c>
    </row>
    <row r="159" spans="1:20" x14ac:dyDescent="0.3">
      <c r="A159" t="s">
        <v>209</v>
      </c>
      <c r="B159" s="2">
        <v>46065</v>
      </c>
      <c r="C159" t="s">
        <v>34</v>
      </c>
      <c r="D159" t="s">
        <v>28</v>
      </c>
      <c r="E159" t="s">
        <v>29</v>
      </c>
      <c r="F159" t="s">
        <v>37</v>
      </c>
      <c r="G159">
        <v>4</v>
      </c>
      <c r="H159">
        <v>179867</v>
      </c>
      <c r="I159">
        <v>123871</v>
      </c>
      <c r="J159">
        <v>719468</v>
      </c>
      <c r="K159">
        <v>495484</v>
      </c>
      <c r="L159">
        <v>13870</v>
      </c>
      <c r="M159">
        <v>15000</v>
      </c>
      <c r="N159">
        <v>10000</v>
      </c>
      <c r="O159">
        <v>534354</v>
      </c>
      <c r="P159">
        <v>185114</v>
      </c>
      <c r="Q159">
        <v>2026</v>
      </c>
      <c r="R159">
        <v>2</v>
      </c>
      <c r="S159" t="s">
        <v>46</v>
      </c>
      <c r="T159">
        <v>25.73</v>
      </c>
    </row>
    <row r="160" spans="1:20" x14ac:dyDescent="0.3">
      <c r="A160" t="s">
        <v>210</v>
      </c>
      <c r="B160" s="2">
        <v>46065</v>
      </c>
      <c r="C160" t="s">
        <v>27</v>
      </c>
      <c r="D160" t="s">
        <v>22</v>
      </c>
      <c r="E160" t="s">
        <v>23</v>
      </c>
      <c r="F160" t="s">
        <v>45</v>
      </c>
      <c r="G160">
        <v>14</v>
      </c>
      <c r="H160">
        <v>24650</v>
      </c>
      <c r="I160">
        <v>14339</v>
      </c>
      <c r="J160">
        <v>345100</v>
      </c>
      <c r="K160">
        <v>200746</v>
      </c>
      <c r="L160">
        <v>22485</v>
      </c>
      <c r="M160">
        <v>15000</v>
      </c>
      <c r="N160">
        <v>5000</v>
      </c>
      <c r="O160">
        <v>243231</v>
      </c>
      <c r="P160">
        <v>101869</v>
      </c>
      <c r="Q160">
        <v>2026</v>
      </c>
      <c r="R160">
        <v>2</v>
      </c>
      <c r="S160" t="s">
        <v>46</v>
      </c>
      <c r="T160">
        <v>29.52</v>
      </c>
    </row>
    <row r="161" spans="1:20" x14ac:dyDescent="0.3">
      <c r="A161" t="s">
        <v>211</v>
      </c>
      <c r="B161" s="2">
        <v>46065</v>
      </c>
      <c r="C161" t="s">
        <v>21</v>
      </c>
      <c r="D161" t="s">
        <v>28</v>
      </c>
      <c r="E161" t="s">
        <v>29</v>
      </c>
      <c r="F161" t="s">
        <v>40</v>
      </c>
      <c r="G161">
        <v>2</v>
      </c>
      <c r="H161">
        <v>185390</v>
      </c>
      <c r="I161">
        <v>135286</v>
      </c>
      <c r="J161">
        <v>370780</v>
      </c>
      <c r="K161">
        <v>270572</v>
      </c>
      <c r="L161">
        <v>10004</v>
      </c>
      <c r="M161">
        <v>5000</v>
      </c>
      <c r="N161">
        <v>10000</v>
      </c>
      <c r="O161">
        <v>295576</v>
      </c>
      <c r="P161">
        <v>75204</v>
      </c>
      <c r="Q161">
        <v>2026</v>
      </c>
      <c r="R161">
        <v>2</v>
      </c>
      <c r="S161" t="s">
        <v>46</v>
      </c>
      <c r="T161">
        <v>20.28</v>
      </c>
    </row>
    <row r="162" spans="1:20" x14ac:dyDescent="0.3">
      <c r="A162" t="s">
        <v>212</v>
      </c>
      <c r="B162" s="2">
        <v>46073</v>
      </c>
      <c r="C162" t="s">
        <v>49</v>
      </c>
      <c r="D162" t="s">
        <v>28</v>
      </c>
      <c r="E162" t="s">
        <v>29</v>
      </c>
      <c r="F162" t="s">
        <v>30</v>
      </c>
      <c r="G162">
        <v>2</v>
      </c>
      <c r="H162">
        <v>169763</v>
      </c>
      <c r="I162">
        <v>125761</v>
      </c>
      <c r="J162">
        <v>339526</v>
      </c>
      <c r="K162">
        <v>251522</v>
      </c>
      <c r="L162">
        <v>23274</v>
      </c>
      <c r="M162">
        <v>15000</v>
      </c>
      <c r="N162">
        <v>8000</v>
      </c>
      <c r="O162">
        <v>297796</v>
      </c>
      <c r="P162">
        <v>41730</v>
      </c>
      <c r="Q162">
        <v>2026</v>
      </c>
      <c r="R162">
        <v>2</v>
      </c>
      <c r="S162" t="s">
        <v>46</v>
      </c>
      <c r="T162">
        <v>12.29</v>
      </c>
    </row>
    <row r="163" spans="1:20" x14ac:dyDescent="0.3">
      <c r="A163" t="s">
        <v>213</v>
      </c>
      <c r="B163" s="2">
        <v>46073</v>
      </c>
      <c r="C163" t="s">
        <v>32</v>
      </c>
      <c r="D163" t="s">
        <v>56</v>
      </c>
      <c r="E163" t="s">
        <v>36</v>
      </c>
      <c r="F163" t="s">
        <v>24</v>
      </c>
      <c r="G163">
        <v>6</v>
      </c>
      <c r="H163">
        <v>134252</v>
      </c>
      <c r="I163">
        <v>107480</v>
      </c>
      <c r="J163">
        <v>805512</v>
      </c>
      <c r="K163">
        <v>644880</v>
      </c>
      <c r="L163">
        <v>13818</v>
      </c>
      <c r="M163">
        <v>5000</v>
      </c>
      <c r="N163">
        <v>8000</v>
      </c>
      <c r="O163">
        <v>671698</v>
      </c>
      <c r="P163">
        <v>133814</v>
      </c>
      <c r="Q163">
        <v>2026</v>
      </c>
      <c r="R163">
        <v>2</v>
      </c>
      <c r="S163" t="s">
        <v>46</v>
      </c>
      <c r="T163">
        <v>16.61</v>
      </c>
    </row>
    <row r="164" spans="1:20" x14ac:dyDescent="0.3">
      <c r="A164" t="s">
        <v>214</v>
      </c>
      <c r="B164" s="2">
        <v>46076</v>
      </c>
      <c r="C164" t="s">
        <v>49</v>
      </c>
      <c r="D164" t="s">
        <v>28</v>
      </c>
      <c r="E164" t="s">
        <v>29</v>
      </c>
      <c r="F164" t="s">
        <v>42</v>
      </c>
      <c r="G164">
        <v>12</v>
      </c>
      <c r="H164">
        <v>160752</v>
      </c>
      <c r="I164">
        <v>125320</v>
      </c>
      <c r="J164">
        <v>1929024</v>
      </c>
      <c r="K164">
        <v>1503840</v>
      </c>
      <c r="L164">
        <v>23471</v>
      </c>
      <c r="M164">
        <v>15000</v>
      </c>
      <c r="N164">
        <v>3000</v>
      </c>
      <c r="O164">
        <v>1545311</v>
      </c>
      <c r="P164">
        <v>383713</v>
      </c>
      <c r="Q164">
        <v>2026</v>
      </c>
      <c r="R164">
        <v>2</v>
      </c>
      <c r="S164" t="s">
        <v>46</v>
      </c>
      <c r="T164">
        <v>19.89</v>
      </c>
    </row>
    <row r="165" spans="1:20" x14ac:dyDescent="0.3">
      <c r="A165" t="s">
        <v>215</v>
      </c>
      <c r="B165" s="2">
        <v>46078</v>
      </c>
      <c r="C165" t="s">
        <v>32</v>
      </c>
      <c r="D165" t="s">
        <v>56</v>
      </c>
      <c r="E165" t="s">
        <v>36</v>
      </c>
      <c r="F165" t="s">
        <v>45</v>
      </c>
      <c r="G165">
        <v>2</v>
      </c>
      <c r="H165">
        <v>135014</v>
      </c>
      <c r="I165">
        <v>103412</v>
      </c>
      <c r="J165">
        <v>270028</v>
      </c>
      <c r="K165">
        <v>206824</v>
      </c>
      <c r="L165">
        <v>9288</v>
      </c>
      <c r="M165">
        <v>15000</v>
      </c>
      <c r="N165">
        <v>8000</v>
      </c>
      <c r="O165">
        <v>239112</v>
      </c>
      <c r="P165">
        <v>30916</v>
      </c>
      <c r="Q165">
        <v>2026</v>
      </c>
      <c r="R165">
        <v>2</v>
      </c>
      <c r="S165" t="s">
        <v>46</v>
      </c>
      <c r="T165">
        <v>11.45</v>
      </c>
    </row>
    <row r="166" spans="1:20" x14ac:dyDescent="0.3">
      <c r="A166" t="s">
        <v>216</v>
      </c>
      <c r="B166" s="2">
        <v>46079</v>
      </c>
      <c r="C166" t="s">
        <v>49</v>
      </c>
      <c r="D166" t="s">
        <v>22</v>
      </c>
      <c r="E166" t="s">
        <v>23</v>
      </c>
      <c r="F166" t="s">
        <v>37</v>
      </c>
      <c r="G166">
        <v>5</v>
      </c>
      <c r="H166">
        <v>23495</v>
      </c>
      <c r="I166">
        <v>13917</v>
      </c>
      <c r="J166">
        <v>117475</v>
      </c>
      <c r="K166">
        <v>69585</v>
      </c>
      <c r="L166">
        <v>37400</v>
      </c>
      <c r="M166">
        <v>20000</v>
      </c>
      <c r="N166">
        <v>2000</v>
      </c>
      <c r="O166">
        <v>128985</v>
      </c>
      <c r="P166">
        <v>-11510</v>
      </c>
      <c r="Q166">
        <v>2026</v>
      </c>
      <c r="R166">
        <v>2</v>
      </c>
      <c r="S166" t="s">
        <v>46</v>
      </c>
      <c r="T166">
        <v>-9.8000000000000007</v>
      </c>
    </row>
    <row r="167" spans="1:20" x14ac:dyDescent="0.3">
      <c r="A167" t="s">
        <v>217</v>
      </c>
      <c r="B167" s="2">
        <v>46081</v>
      </c>
      <c r="C167" t="s">
        <v>21</v>
      </c>
      <c r="D167" t="s">
        <v>35</v>
      </c>
      <c r="E167" t="s">
        <v>36</v>
      </c>
      <c r="F167" t="s">
        <v>30</v>
      </c>
      <c r="G167">
        <v>9</v>
      </c>
      <c r="H167">
        <v>494532</v>
      </c>
      <c r="I167">
        <v>402951</v>
      </c>
      <c r="J167">
        <v>4450788</v>
      </c>
      <c r="K167">
        <v>3626559</v>
      </c>
      <c r="L167">
        <v>31866</v>
      </c>
      <c r="M167">
        <v>15000</v>
      </c>
      <c r="N167">
        <v>2000</v>
      </c>
      <c r="O167">
        <v>3675425</v>
      </c>
      <c r="P167">
        <v>775363</v>
      </c>
      <c r="Q167">
        <v>2026</v>
      </c>
      <c r="R167">
        <v>2</v>
      </c>
      <c r="S167" t="s">
        <v>46</v>
      </c>
      <c r="T167">
        <v>17.420000000000002</v>
      </c>
    </row>
    <row r="168" spans="1:20" x14ac:dyDescent="0.3">
      <c r="A168" t="s">
        <v>218</v>
      </c>
      <c r="B168" s="2">
        <v>46083</v>
      </c>
      <c r="C168" t="s">
        <v>21</v>
      </c>
      <c r="D168" t="s">
        <v>58</v>
      </c>
      <c r="E168" t="s">
        <v>29</v>
      </c>
      <c r="F168" t="s">
        <v>24</v>
      </c>
      <c r="G168">
        <v>3</v>
      </c>
      <c r="H168">
        <v>241946</v>
      </c>
      <c r="I168">
        <v>183122</v>
      </c>
      <c r="J168">
        <v>725838</v>
      </c>
      <c r="K168">
        <v>549366</v>
      </c>
      <c r="L168">
        <v>21235</v>
      </c>
      <c r="M168">
        <v>20000</v>
      </c>
      <c r="N168">
        <v>10000</v>
      </c>
      <c r="O168">
        <v>600601</v>
      </c>
      <c r="P168">
        <v>125237</v>
      </c>
      <c r="Q168">
        <v>2026</v>
      </c>
      <c r="R168">
        <v>3</v>
      </c>
      <c r="S168" t="s">
        <v>66</v>
      </c>
      <c r="T168">
        <v>17.25</v>
      </c>
    </row>
    <row r="169" spans="1:20" x14ac:dyDescent="0.3">
      <c r="A169" t="s">
        <v>219</v>
      </c>
      <c r="B169" s="2">
        <v>46084</v>
      </c>
      <c r="C169" t="s">
        <v>27</v>
      </c>
      <c r="D169" t="s">
        <v>39</v>
      </c>
      <c r="E169" t="s">
        <v>23</v>
      </c>
      <c r="F169" t="s">
        <v>30</v>
      </c>
      <c r="G169">
        <v>8</v>
      </c>
      <c r="H169">
        <v>37256</v>
      </c>
      <c r="I169">
        <v>21210</v>
      </c>
      <c r="J169">
        <v>298048</v>
      </c>
      <c r="K169">
        <v>169680</v>
      </c>
      <c r="L169">
        <v>26034</v>
      </c>
      <c r="M169">
        <v>10000</v>
      </c>
      <c r="N169">
        <v>8000</v>
      </c>
      <c r="O169">
        <v>213714</v>
      </c>
      <c r="P169">
        <v>84334</v>
      </c>
      <c r="Q169">
        <v>2026</v>
      </c>
      <c r="R169">
        <v>3</v>
      </c>
      <c r="S169" t="s">
        <v>66</v>
      </c>
      <c r="T169">
        <v>28.3</v>
      </c>
    </row>
    <row r="170" spans="1:20" x14ac:dyDescent="0.3">
      <c r="A170" t="s">
        <v>220</v>
      </c>
      <c r="B170" s="2">
        <v>46085</v>
      </c>
      <c r="C170" t="s">
        <v>27</v>
      </c>
      <c r="D170" t="s">
        <v>58</v>
      </c>
      <c r="E170" t="s">
        <v>29</v>
      </c>
      <c r="F170" t="s">
        <v>40</v>
      </c>
      <c r="G170">
        <v>14</v>
      </c>
      <c r="H170">
        <v>238939</v>
      </c>
      <c r="I170">
        <v>175786</v>
      </c>
      <c r="J170">
        <v>3345146</v>
      </c>
      <c r="K170">
        <v>2461004</v>
      </c>
      <c r="L170">
        <v>29543</v>
      </c>
      <c r="M170">
        <v>10000</v>
      </c>
      <c r="N170">
        <v>2000</v>
      </c>
      <c r="O170">
        <v>2502547</v>
      </c>
      <c r="P170">
        <v>842599</v>
      </c>
      <c r="Q170">
        <v>2026</v>
      </c>
      <c r="R170">
        <v>3</v>
      </c>
      <c r="S170" t="s">
        <v>66</v>
      </c>
      <c r="T170">
        <v>25.19</v>
      </c>
    </row>
    <row r="171" spans="1:20" x14ac:dyDescent="0.3">
      <c r="A171" t="s">
        <v>221</v>
      </c>
      <c r="B171" s="2">
        <v>46086</v>
      </c>
      <c r="C171" t="s">
        <v>49</v>
      </c>
      <c r="D171" t="s">
        <v>58</v>
      </c>
      <c r="E171" t="s">
        <v>29</v>
      </c>
      <c r="F171" t="s">
        <v>45</v>
      </c>
      <c r="G171">
        <v>12</v>
      </c>
      <c r="H171">
        <v>211530</v>
      </c>
      <c r="I171">
        <v>175910</v>
      </c>
      <c r="J171">
        <v>2538360</v>
      </c>
      <c r="K171">
        <v>2110920</v>
      </c>
      <c r="L171">
        <v>31295</v>
      </c>
      <c r="M171">
        <v>15000</v>
      </c>
      <c r="N171">
        <v>2000</v>
      </c>
      <c r="O171">
        <v>2159215</v>
      </c>
      <c r="P171">
        <v>379145</v>
      </c>
      <c r="Q171">
        <v>2026</v>
      </c>
      <c r="R171">
        <v>3</v>
      </c>
      <c r="S171" t="s">
        <v>66</v>
      </c>
      <c r="T171">
        <v>14.94</v>
      </c>
    </row>
    <row r="172" spans="1:20" x14ac:dyDescent="0.3">
      <c r="A172" t="s">
        <v>222</v>
      </c>
      <c r="B172" s="2">
        <v>46090</v>
      </c>
      <c r="C172" t="s">
        <v>27</v>
      </c>
      <c r="D172" t="s">
        <v>35</v>
      </c>
      <c r="E172" t="s">
        <v>36</v>
      </c>
      <c r="F172" t="s">
        <v>45</v>
      </c>
      <c r="G172">
        <v>2</v>
      </c>
      <c r="H172">
        <v>504717</v>
      </c>
      <c r="I172">
        <v>392180</v>
      </c>
      <c r="J172">
        <v>1009434</v>
      </c>
      <c r="K172">
        <v>784360</v>
      </c>
      <c r="L172">
        <v>5869</v>
      </c>
      <c r="M172">
        <v>20000</v>
      </c>
      <c r="N172">
        <v>3000</v>
      </c>
      <c r="O172">
        <v>813229</v>
      </c>
      <c r="P172">
        <v>196205</v>
      </c>
      <c r="Q172">
        <v>2026</v>
      </c>
      <c r="R172">
        <v>3</v>
      </c>
      <c r="S172" t="s">
        <v>66</v>
      </c>
      <c r="T172">
        <v>19.440000000000001</v>
      </c>
    </row>
    <row r="173" spans="1:20" x14ac:dyDescent="0.3">
      <c r="A173" t="s">
        <v>223</v>
      </c>
      <c r="B173" s="2">
        <v>46091</v>
      </c>
      <c r="C173" t="s">
        <v>34</v>
      </c>
      <c r="D173" t="s">
        <v>39</v>
      </c>
      <c r="E173" t="s">
        <v>23</v>
      </c>
      <c r="F173" t="s">
        <v>30</v>
      </c>
      <c r="G173">
        <v>1</v>
      </c>
      <c r="H173">
        <v>32249</v>
      </c>
      <c r="I173">
        <v>20366</v>
      </c>
      <c r="J173">
        <v>32249</v>
      </c>
      <c r="K173">
        <v>20366</v>
      </c>
      <c r="L173">
        <v>15022</v>
      </c>
      <c r="M173">
        <v>10000</v>
      </c>
      <c r="N173">
        <v>8000</v>
      </c>
      <c r="O173">
        <v>53388</v>
      </c>
      <c r="P173">
        <v>-21139</v>
      </c>
      <c r="Q173">
        <v>2026</v>
      </c>
      <c r="R173">
        <v>3</v>
      </c>
      <c r="S173" t="s">
        <v>66</v>
      </c>
      <c r="T173">
        <v>-65.55</v>
      </c>
    </row>
    <row r="174" spans="1:20" x14ac:dyDescent="0.3">
      <c r="A174" t="s">
        <v>224</v>
      </c>
      <c r="B174" s="2">
        <v>46096</v>
      </c>
      <c r="C174" t="s">
        <v>49</v>
      </c>
      <c r="D174" t="s">
        <v>58</v>
      </c>
      <c r="E174" t="s">
        <v>29</v>
      </c>
      <c r="F174" t="s">
        <v>24</v>
      </c>
      <c r="G174">
        <v>3</v>
      </c>
      <c r="H174">
        <v>206834</v>
      </c>
      <c r="I174">
        <v>173548</v>
      </c>
      <c r="J174">
        <v>620502</v>
      </c>
      <c r="K174">
        <v>520644</v>
      </c>
      <c r="L174">
        <v>14919</v>
      </c>
      <c r="M174">
        <v>15000</v>
      </c>
      <c r="N174">
        <v>5000</v>
      </c>
      <c r="O174">
        <v>555563</v>
      </c>
      <c r="P174">
        <v>64939</v>
      </c>
      <c r="Q174">
        <v>2026</v>
      </c>
      <c r="R174">
        <v>3</v>
      </c>
      <c r="S174" t="s">
        <v>66</v>
      </c>
      <c r="T174">
        <v>10.47</v>
      </c>
    </row>
    <row r="175" spans="1:20" x14ac:dyDescent="0.3">
      <c r="A175" t="s">
        <v>225</v>
      </c>
      <c r="B175" s="2">
        <v>46096</v>
      </c>
      <c r="C175" t="s">
        <v>34</v>
      </c>
      <c r="D175" t="s">
        <v>22</v>
      </c>
      <c r="E175" t="s">
        <v>23</v>
      </c>
      <c r="F175" t="s">
        <v>37</v>
      </c>
      <c r="G175">
        <v>2</v>
      </c>
      <c r="H175">
        <v>23502</v>
      </c>
      <c r="I175">
        <v>13825</v>
      </c>
      <c r="J175">
        <v>47004</v>
      </c>
      <c r="K175">
        <v>27650</v>
      </c>
      <c r="L175">
        <v>23455</v>
      </c>
      <c r="M175">
        <v>15000</v>
      </c>
      <c r="N175">
        <v>2000</v>
      </c>
      <c r="O175">
        <v>68105</v>
      </c>
      <c r="P175">
        <v>-21101</v>
      </c>
      <c r="Q175">
        <v>2026</v>
      </c>
      <c r="R175">
        <v>3</v>
      </c>
      <c r="S175" t="s">
        <v>66</v>
      </c>
      <c r="T175">
        <v>-44.89</v>
      </c>
    </row>
    <row r="176" spans="1:20" x14ac:dyDescent="0.3">
      <c r="A176" t="s">
        <v>226</v>
      </c>
      <c r="B176" s="2">
        <v>46099</v>
      </c>
      <c r="C176" t="s">
        <v>49</v>
      </c>
      <c r="D176" t="s">
        <v>28</v>
      </c>
      <c r="E176" t="s">
        <v>29</v>
      </c>
      <c r="F176" t="s">
        <v>37</v>
      </c>
      <c r="G176">
        <v>7</v>
      </c>
      <c r="H176">
        <v>164682</v>
      </c>
      <c r="I176">
        <v>133926</v>
      </c>
      <c r="J176">
        <v>1152774</v>
      </c>
      <c r="K176">
        <v>937482</v>
      </c>
      <c r="L176">
        <v>33830</v>
      </c>
      <c r="M176">
        <v>0</v>
      </c>
      <c r="N176">
        <v>2000</v>
      </c>
      <c r="O176">
        <v>973312</v>
      </c>
      <c r="P176">
        <v>179462</v>
      </c>
      <c r="Q176">
        <v>2026</v>
      </c>
      <c r="R176">
        <v>3</v>
      </c>
      <c r="S176" t="s">
        <v>66</v>
      </c>
      <c r="T176">
        <v>15.57</v>
      </c>
    </row>
    <row r="177" spans="1:20" x14ac:dyDescent="0.3">
      <c r="A177" t="s">
        <v>227</v>
      </c>
      <c r="B177" s="2">
        <v>46102</v>
      </c>
      <c r="C177" t="s">
        <v>34</v>
      </c>
      <c r="D177" t="s">
        <v>28</v>
      </c>
      <c r="E177" t="s">
        <v>29</v>
      </c>
      <c r="F177" t="s">
        <v>24</v>
      </c>
      <c r="G177">
        <v>7</v>
      </c>
      <c r="H177">
        <v>171563</v>
      </c>
      <c r="I177">
        <v>130813</v>
      </c>
      <c r="J177">
        <v>1200941</v>
      </c>
      <c r="K177">
        <v>915691</v>
      </c>
      <c r="L177">
        <v>22028</v>
      </c>
      <c r="M177">
        <v>20000</v>
      </c>
      <c r="N177">
        <v>3000</v>
      </c>
      <c r="O177">
        <v>960719</v>
      </c>
      <c r="P177">
        <v>240222</v>
      </c>
      <c r="Q177">
        <v>2026</v>
      </c>
      <c r="R177">
        <v>3</v>
      </c>
      <c r="S177" t="s">
        <v>66</v>
      </c>
      <c r="T177">
        <v>20</v>
      </c>
    </row>
    <row r="178" spans="1:20" x14ac:dyDescent="0.3">
      <c r="A178" t="s">
        <v>228</v>
      </c>
      <c r="B178" s="2">
        <v>46104</v>
      </c>
      <c r="C178" t="s">
        <v>49</v>
      </c>
      <c r="D178" t="s">
        <v>39</v>
      </c>
      <c r="E178" t="s">
        <v>23</v>
      </c>
      <c r="F178" t="s">
        <v>24</v>
      </c>
      <c r="G178">
        <v>9</v>
      </c>
      <c r="H178">
        <v>30290</v>
      </c>
      <c r="I178">
        <v>21961</v>
      </c>
      <c r="J178">
        <v>272610</v>
      </c>
      <c r="K178">
        <v>197649</v>
      </c>
      <c r="L178">
        <v>36798</v>
      </c>
      <c r="M178">
        <v>10000</v>
      </c>
      <c r="N178">
        <v>3000</v>
      </c>
      <c r="O178">
        <v>247447</v>
      </c>
      <c r="P178">
        <v>25163</v>
      </c>
      <c r="Q178">
        <v>2026</v>
      </c>
      <c r="R178">
        <v>3</v>
      </c>
      <c r="S178" t="s">
        <v>66</v>
      </c>
      <c r="T178">
        <v>9.23</v>
      </c>
    </row>
    <row r="179" spans="1:20" x14ac:dyDescent="0.3">
      <c r="A179" t="s">
        <v>229</v>
      </c>
      <c r="B179" s="2">
        <v>46105</v>
      </c>
      <c r="C179" t="s">
        <v>49</v>
      </c>
      <c r="D179" t="s">
        <v>56</v>
      </c>
      <c r="E179" t="s">
        <v>36</v>
      </c>
      <c r="F179" t="s">
        <v>24</v>
      </c>
      <c r="G179">
        <v>15</v>
      </c>
      <c r="H179">
        <v>146588</v>
      </c>
      <c r="I179">
        <v>103666</v>
      </c>
      <c r="J179">
        <v>2198820</v>
      </c>
      <c r="K179">
        <v>1554990</v>
      </c>
      <c r="L179">
        <v>13901</v>
      </c>
      <c r="M179">
        <v>15000</v>
      </c>
      <c r="N179">
        <v>8000</v>
      </c>
      <c r="O179">
        <v>1591891</v>
      </c>
      <c r="P179">
        <v>606929</v>
      </c>
      <c r="Q179">
        <v>2026</v>
      </c>
      <c r="R179">
        <v>3</v>
      </c>
      <c r="S179" t="s">
        <v>66</v>
      </c>
      <c r="T179">
        <v>27.6</v>
      </c>
    </row>
    <row r="180" spans="1:20" x14ac:dyDescent="0.3">
      <c r="A180" t="s">
        <v>230</v>
      </c>
      <c r="B180" s="2">
        <v>46106</v>
      </c>
      <c r="C180" t="s">
        <v>21</v>
      </c>
      <c r="D180" t="s">
        <v>35</v>
      </c>
      <c r="E180" t="s">
        <v>36</v>
      </c>
      <c r="F180" t="s">
        <v>40</v>
      </c>
      <c r="G180">
        <v>2</v>
      </c>
      <c r="H180">
        <v>485741</v>
      </c>
      <c r="I180">
        <v>398177</v>
      </c>
      <c r="J180">
        <v>971482</v>
      </c>
      <c r="K180">
        <v>796354</v>
      </c>
      <c r="L180">
        <v>21082</v>
      </c>
      <c r="M180">
        <v>15000</v>
      </c>
      <c r="N180">
        <v>10000</v>
      </c>
      <c r="O180">
        <v>842436</v>
      </c>
      <c r="P180">
        <v>129046</v>
      </c>
      <c r="Q180">
        <v>2026</v>
      </c>
      <c r="R180">
        <v>3</v>
      </c>
      <c r="S180" t="s">
        <v>66</v>
      </c>
      <c r="T180">
        <v>13.28</v>
      </c>
    </row>
    <row r="181" spans="1:20" x14ac:dyDescent="0.3">
      <c r="A181" t="s">
        <v>231</v>
      </c>
      <c r="B181" s="2">
        <v>46106</v>
      </c>
      <c r="C181" t="s">
        <v>49</v>
      </c>
      <c r="D181" t="s">
        <v>35</v>
      </c>
      <c r="E181" t="s">
        <v>36</v>
      </c>
      <c r="F181" t="s">
        <v>45</v>
      </c>
      <c r="G181">
        <v>6</v>
      </c>
      <c r="H181">
        <v>489616</v>
      </c>
      <c r="I181">
        <v>380690</v>
      </c>
      <c r="J181">
        <v>2937696</v>
      </c>
      <c r="K181">
        <v>2284140</v>
      </c>
      <c r="L181">
        <v>24444</v>
      </c>
      <c r="M181">
        <v>20000</v>
      </c>
      <c r="N181">
        <v>5000</v>
      </c>
      <c r="O181">
        <v>2333584</v>
      </c>
      <c r="P181">
        <v>604112</v>
      </c>
      <c r="Q181">
        <v>2026</v>
      </c>
      <c r="R181">
        <v>3</v>
      </c>
      <c r="S181" t="s">
        <v>66</v>
      </c>
      <c r="T181">
        <v>20.56</v>
      </c>
    </row>
    <row r="182" spans="1:20" x14ac:dyDescent="0.3">
      <c r="A182" t="s">
        <v>232</v>
      </c>
      <c r="B182" s="2">
        <v>46110</v>
      </c>
      <c r="C182" t="s">
        <v>32</v>
      </c>
      <c r="D182" t="s">
        <v>28</v>
      </c>
      <c r="E182" t="s">
        <v>29</v>
      </c>
      <c r="F182" t="s">
        <v>30</v>
      </c>
      <c r="G182">
        <v>5</v>
      </c>
      <c r="H182">
        <v>174183</v>
      </c>
      <c r="I182">
        <v>129568</v>
      </c>
      <c r="J182">
        <v>870915</v>
      </c>
      <c r="K182">
        <v>647840</v>
      </c>
      <c r="L182">
        <v>16494</v>
      </c>
      <c r="M182">
        <v>15000</v>
      </c>
      <c r="N182">
        <v>5000</v>
      </c>
      <c r="O182">
        <v>684334</v>
      </c>
      <c r="P182">
        <v>186581</v>
      </c>
      <c r="Q182">
        <v>2026</v>
      </c>
      <c r="R182">
        <v>3</v>
      </c>
      <c r="S182" t="s">
        <v>66</v>
      </c>
      <c r="T182">
        <v>21.42</v>
      </c>
    </row>
    <row r="183" spans="1:20" x14ac:dyDescent="0.3">
      <c r="A183" t="s">
        <v>233</v>
      </c>
      <c r="B183" s="2">
        <v>46110</v>
      </c>
      <c r="C183" t="s">
        <v>49</v>
      </c>
      <c r="D183" t="s">
        <v>39</v>
      </c>
      <c r="E183" t="s">
        <v>23</v>
      </c>
      <c r="F183" t="s">
        <v>40</v>
      </c>
      <c r="G183">
        <v>9</v>
      </c>
      <c r="H183">
        <v>29982</v>
      </c>
      <c r="I183">
        <v>20124</v>
      </c>
      <c r="J183">
        <v>269838</v>
      </c>
      <c r="K183">
        <v>181116</v>
      </c>
      <c r="L183">
        <v>34554</v>
      </c>
      <c r="M183">
        <v>5000</v>
      </c>
      <c r="N183">
        <v>10000</v>
      </c>
      <c r="O183">
        <v>230670</v>
      </c>
      <c r="P183">
        <v>39168</v>
      </c>
      <c r="Q183">
        <v>2026</v>
      </c>
      <c r="R183">
        <v>3</v>
      </c>
      <c r="S183" t="s">
        <v>66</v>
      </c>
      <c r="T183">
        <v>14.52</v>
      </c>
    </row>
    <row r="184" spans="1:20" x14ac:dyDescent="0.3">
      <c r="A184" t="s">
        <v>234</v>
      </c>
      <c r="B184" s="2">
        <v>46112</v>
      </c>
      <c r="C184" t="s">
        <v>21</v>
      </c>
      <c r="D184" t="s">
        <v>56</v>
      </c>
      <c r="E184" t="s">
        <v>36</v>
      </c>
      <c r="F184" t="s">
        <v>40</v>
      </c>
      <c r="G184">
        <v>14</v>
      </c>
      <c r="H184">
        <v>142672</v>
      </c>
      <c r="I184">
        <v>111080</v>
      </c>
      <c r="J184">
        <v>1997408</v>
      </c>
      <c r="K184">
        <v>1555120</v>
      </c>
      <c r="L184">
        <v>21295</v>
      </c>
      <c r="M184">
        <v>20000</v>
      </c>
      <c r="N184">
        <v>5000</v>
      </c>
      <c r="O184">
        <v>1601415</v>
      </c>
      <c r="P184">
        <v>395993</v>
      </c>
      <c r="Q184">
        <v>2026</v>
      </c>
      <c r="R184">
        <v>3</v>
      </c>
      <c r="S184" t="s">
        <v>66</v>
      </c>
      <c r="T184">
        <v>19.829999999999998</v>
      </c>
    </row>
    <row r="185" spans="1:20" x14ac:dyDescent="0.3">
      <c r="A185" t="s">
        <v>235</v>
      </c>
      <c r="B185" s="2">
        <v>46112</v>
      </c>
      <c r="C185" t="s">
        <v>27</v>
      </c>
      <c r="D185" t="s">
        <v>35</v>
      </c>
      <c r="E185" t="s">
        <v>36</v>
      </c>
      <c r="F185" t="s">
        <v>42</v>
      </c>
      <c r="G185">
        <v>6</v>
      </c>
      <c r="H185">
        <v>533084</v>
      </c>
      <c r="I185">
        <v>373318</v>
      </c>
      <c r="J185">
        <v>3198504</v>
      </c>
      <c r="K185">
        <v>2239908</v>
      </c>
      <c r="L185">
        <v>14011</v>
      </c>
      <c r="M185">
        <v>20000</v>
      </c>
      <c r="N185">
        <v>10000</v>
      </c>
      <c r="O185">
        <v>2283919</v>
      </c>
      <c r="P185">
        <v>914585</v>
      </c>
      <c r="Q185">
        <v>2026</v>
      </c>
      <c r="R185">
        <v>3</v>
      </c>
      <c r="S185" t="s">
        <v>66</v>
      </c>
      <c r="T185">
        <v>28.59</v>
      </c>
    </row>
    <row r="186" spans="1:20" x14ac:dyDescent="0.3">
      <c r="A186" t="s">
        <v>236</v>
      </c>
      <c r="B186" s="2">
        <v>46112</v>
      </c>
      <c r="C186" t="s">
        <v>49</v>
      </c>
      <c r="D186" t="s">
        <v>28</v>
      </c>
      <c r="E186" t="s">
        <v>29</v>
      </c>
      <c r="F186" t="s">
        <v>45</v>
      </c>
      <c r="G186">
        <v>1</v>
      </c>
      <c r="H186">
        <v>170639</v>
      </c>
      <c r="I186">
        <v>136536</v>
      </c>
      <c r="J186">
        <v>170639</v>
      </c>
      <c r="K186">
        <v>136536</v>
      </c>
      <c r="L186">
        <v>31434</v>
      </c>
      <c r="M186">
        <v>15000</v>
      </c>
      <c r="N186">
        <v>5000</v>
      </c>
      <c r="O186">
        <v>187970</v>
      </c>
      <c r="P186">
        <v>-17331</v>
      </c>
      <c r="Q186">
        <v>2026</v>
      </c>
      <c r="R186">
        <v>3</v>
      </c>
      <c r="S186" t="s">
        <v>66</v>
      </c>
      <c r="T186">
        <v>-10.16</v>
      </c>
    </row>
    <row r="187" spans="1:20" x14ac:dyDescent="0.3">
      <c r="A187" t="s">
        <v>237</v>
      </c>
      <c r="B187" s="2">
        <v>46114</v>
      </c>
      <c r="C187" t="s">
        <v>49</v>
      </c>
      <c r="D187" t="s">
        <v>58</v>
      </c>
      <c r="E187" t="s">
        <v>29</v>
      </c>
      <c r="F187" t="s">
        <v>37</v>
      </c>
      <c r="G187">
        <v>8</v>
      </c>
      <c r="H187">
        <v>213221</v>
      </c>
      <c r="I187">
        <v>171009</v>
      </c>
      <c r="J187">
        <v>1705768</v>
      </c>
      <c r="K187">
        <v>1368072</v>
      </c>
      <c r="L187">
        <v>32368</v>
      </c>
      <c r="M187">
        <v>10000</v>
      </c>
      <c r="N187">
        <v>10000</v>
      </c>
      <c r="O187">
        <v>1420440</v>
      </c>
      <c r="P187">
        <v>285328</v>
      </c>
      <c r="Q187">
        <v>2026</v>
      </c>
      <c r="R187">
        <v>4</v>
      </c>
      <c r="S187" t="s">
        <v>79</v>
      </c>
      <c r="T187">
        <v>16.73</v>
      </c>
    </row>
    <row r="188" spans="1:20" x14ac:dyDescent="0.3">
      <c r="A188" t="s">
        <v>238</v>
      </c>
      <c r="B188" s="2">
        <v>46117</v>
      </c>
      <c r="C188" t="s">
        <v>32</v>
      </c>
      <c r="D188" t="s">
        <v>58</v>
      </c>
      <c r="E188" t="s">
        <v>29</v>
      </c>
      <c r="F188" t="s">
        <v>45</v>
      </c>
      <c r="G188">
        <v>4</v>
      </c>
      <c r="H188">
        <v>221838</v>
      </c>
      <c r="I188">
        <v>181816</v>
      </c>
      <c r="J188">
        <v>887352</v>
      </c>
      <c r="K188">
        <v>727264</v>
      </c>
      <c r="L188">
        <v>25460</v>
      </c>
      <c r="M188">
        <v>5000</v>
      </c>
      <c r="N188">
        <v>5000</v>
      </c>
      <c r="O188">
        <v>762724</v>
      </c>
      <c r="P188">
        <v>124628</v>
      </c>
      <c r="Q188">
        <v>2026</v>
      </c>
      <c r="R188">
        <v>4</v>
      </c>
      <c r="S188" t="s">
        <v>79</v>
      </c>
      <c r="T188">
        <v>14.04</v>
      </c>
    </row>
    <row r="189" spans="1:20" x14ac:dyDescent="0.3">
      <c r="A189" t="s">
        <v>239</v>
      </c>
      <c r="B189" s="2">
        <v>46119</v>
      </c>
      <c r="C189" t="s">
        <v>34</v>
      </c>
      <c r="D189" t="s">
        <v>39</v>
      </c>
      <c r="E189" t="s">
        <v>23</v>
      </c>
      <c r="F189" t="s">
        <v>37</v>
      </c>
      <c r="G189">
        <v>14</v>
      </c>
      <c r="H189">
        <v>35104</v>
      </c>
      <c r="I189">
        <v>21522</v>
      </c>
      <c r="J189">
        <v>491456</v>
      </c>
      <c r="K189">
        <v>301308</v>
      </c>
      <c r="L189">
        <v>11116</v>
      </c>
      <c r="M189">
        <v>5000</v>
      </c>
      <c r="N189">
        <v>2000</v>
      </c>
      <c r="O189">
        <v>319424</v>
      </c>
      <c r="P189">
        <v>172032</v>
      </c>
      <c r="Q189">
        <v>2026</v>
      </c>
      <c r="R189">
        <v>4</v>
      </c>
      <c r="S189" t="s">
        <v>79</v>
      </c>
      <c r="T189">
        <v>35</v>
      </c>
    </row>
    <row r="190" spans="1:20" x14ac:dyDescent="0.3">
      <c r="A190" t="s">
        <v>240</v>
      </c>
      <c r="B190" s="2">
        <v>46127</v>
      </c>
      <c r="C190" t="s">
        <v>27</v>
      </c>
      <c r="D190" t="s">
        <v>22</v>
      </c>
      <c r="E190" t="s">
        <v>23</v>
      </c>
      <c r="F190" t="s">
        <v>45</v>
      </c>
      <c r="G190">
        <v>1</v>
      </c>
      <c r="H190">
        <v>26995</v>
      </c>
      <c r="I190">
        <v>14605</v>
      </c>
      <c r="J190">
        <v>26995</v>
      </c>
      <c r="K190">
        <v>14605</v>
      </c>
      <c r="L190">
        <v>18968</v>
      </c>
      <c r="M190">
        <v>0</v>
      </c>
      <c r="N190">
        <v>8000</v>
      </c>
      <c r="O190">
        <v>41573</v>
      </c>
      <c r="P190">
        <v>-14578</v>
      </c>
      <c r="Q190">
        <v>2026</v>
      </c>
      <c r="R190">
        <v>4</v>
      </c>
      <c r="S190" t="s">
        <v>79</v>
      </c>
      <c r="T190">
        <v>-54</v>
      </c>
    </row>
    <row r="191" spans="1:20" x14ac:dyDescent="0.3">
      <c r="A191" t="s">
        <v>241</v>
      </c>
      <c r="B191" s="2">
        <v>46128</v>
      </c>
      <c r="C191" t="s">
        <v>34</v>
      </c>
      <c r="D191" t="s">
        <v>39</v>
      </c>
      <c r="E191" t="s">
        <v>23</v>
      </c>
      <c r="F191" t="s">
        <v>37</v>
      </c>
      <c r="G191">
        <v>9</v>
      </c>
      <c r="H191">
        <v>32211</v>
      </c>
      <c r="I191">
        <v>21733</v>
      </c>
      <c r="J191">
        <v>289899</v>
      </c>
      <c r="K191">
        <v>195597</v>
      </c>
      <c r="L191">
        <v>35779</v>
      </c>
      <c r="M191">
        <v>10000</v>
      </c>
      <c r="N191">
        <v>10000</v>
      </c>
      <c r="O191">
        <v>251376</v>
      </c>
      <c r="P191">
        <v>38523</v>
      </c>
      <c r="Q191">
        <v>2026</v>
      </c>
      <c r="R191">
        <v>4</v>
      </c>
      <c r="S191" t="s">
        <v>79</v>
      </c>
      <c r="T191">
        <v>13.29</v>
      </c>
    </row>
    <row r="192" spans="1:20" x14ac:dyDescent="0.3">
      <c r="A192" t="s">
        <v>242</v>
      </c>
      <c r="B192" s="2">
        <v>46133</v>
      </c>
      <c r="C192" t="s">
        <v>34</v>
      </c>
      <c r="D192" t="s">
        <v>22</v>
      </c>
      <c r="E192" t="s">
        <v>23</v>
      </c>
      <c r="F192" t="s">
        <v>40</v>
      </c>
      <c r="G192">
        <v>11</v>
      </c>
      <c r="H192">
        <v>23184</v>
      </c>
      <c r="I192">
        <v>13515</v>
      </c>
      <c r="J192">
        <v>255024</v>
      </c>
      <c r="K192">
        <v>148665</v>
      </c>
      <c r="L192">
        <v>7774</v>
      </c>
      <c r="M192">
        <v>10000</v>
      </c>
      <c r="N192">
        <v>8000</v>
      </c>
      <c r="O192">
        <v>174439</v>
      </c>
      <c r="P192">
        <v>80585</v>
      </c>
      <c r="Q192">
        <v>2026</v>
      </c>
      <c r="R192">
        <v>4</v>
      </c>
      <c r="S192" t="s">
        <v>79</v>
      </c>
      <c r="T192">
        <v>31.6</v>
      </c>
    </row>
    <row r="193" spans="1:20" x14ac:dyDescent="0.3">
      <c r="A193" t="s">
        <v>243</v>
      </c>
      <c r="B193" s="2">
        <v>46139</v>
      </c>
      <c r="C193" t="s">
        <v>32</v>
      </c>
      <c r="D193" t="s">
        <v>28</v>
      </c>
      <c r="E193" t="s">
        <v>29</v>
      </c>
      <c r="F193" t="s">
        <v>24</v>
      </c>
      <c r="G193">
        <v>1</v>
      </c>
      <c r="H193">
        <v>179116</v>
      </c>
      <c r="I193">
        <v>129662</v>
      </c>
      <c r="J193">
        <v>179116</v>
      </c>
      <c r="K193">
        <v>129662</v>
      </c>
      <c r="L193">
        <v>17082</v>
      </c>
      <c r="M193">
        <v>10000</v>
      </c>
      <c r="N193">
        <v>8000</v>
      </c>
      <c r="O193">
        <v>164744</v>
      </c>
      <c r="P193">
        <v>14372</v>
      </c>
      <c r="Q193">
        <v>2026</v>
      </c>
      <c r="R193">
        <v>4</v>
      </c>
      <c r="S193" t="s">
        <v>79</v>
      </c>
      <c r="T193">
        <v>8.02</v>
      </c>
    </row>
    <row r="194" spans="1:20" x14ac:dyDescent="0.3">
      <c r="A194" t="s">
        <v>244</v>
      </c>
      <c r="B194" s="2">
        <v>46141</v>
      </c>
      <c r="C194" t="s">
        <v>49</v>
      </c>
      <c r="D194" t="s">
        <v>58</v>
      </c>
      <c r="E194" t="s">
        <v>29</v>
      </c>
      <c r="F194" t="s">
        <v>40</v>
      </c>
      <c r="G194">
        <v>9</v>
      </c>
      <c r="H194">
        <v>209719</v>
      </c>
      <c r="I194">
        <v>169919</v>
      </c>
      <c r="J194">
        <v>1887471</v>
      </c>
      <c r="K194">
        <v>1529271</v>
      </c>
      <c r="L194">
        <v>30800</v>
      </c>
      <c r="M194">
        <v>20000</v>
      </c>
      <c r="N194">
        <v>3000</v>
      </c>
      <c r="O194">
        <v>1583071</v>
      </c>
      <c r="P194">
        <v>304400</v>
      </c>
      <c r="Q194">
        <v>2026</v>
      </c>
      <c r="R194">
        <v>4</v>
      </c>
      <c r="S194" t="s">
        <v>79</v>
      </c>
      <c r="T194">
        <v>16.13</v>
      </c>
    </row>
    <row r="195" spans="1:20" x14ac:dyDescent="0.3">
      <c r="A195" t="s">
        <v>245</v>
      </c>
      <c r="B195" s="2">
        <v>46141</v>
      </c>
      <c r="C195" t="s">
        <v>21</v>
      </c>
      <c r="D195" t="s">
        <v>22</v>
      </c>
      <c r="E195" t="s">
        <v>23</v>
      </c>
      <c r="F195" t="s">
        <v>24</v>
      </c>
      <c r="G195">
        <v>13</v>
      </c>
      <c r="H195">
        <v>24931</v>
      </c>
      <c r="I195">
        <v>13991</v>
      </c>
      <c r="J195">
        <v>324103</v>
      </c>
      <c r="K195">
        <v>181883</v>
      </c>
      <c r="L195">
        <v>6465</v>
      </c>
      <c r="M195">
        <v>0</v>
      </c>
      <c r="N195">
        <v>2000</v>
      </c>
      <c r="O195">
        <v>190348</v>
      </c>
      <c r="P195">
        <v>133755</v>
      </c>
      <c r="Q195">
        <v>2026</v>
      </c>
      <c r="R195">
        <v>4</v>
      </c>
      <c r="S195" t="s">
        <v>79</v>
      </c>
      <c r="T195">
        <v>41.27</v>
      </c>
    </row>
    <row r="196" spans="1:20" x14ac:dyDescent="0.3">
      <c r="A196" t="s">
        <v>246</v>
      </c>
      <c r="B196" s="2">
        <v>46144</v>
      </c>
      <c r="C196" t="s">
        <v>21</v>
      </c>
      <c r="D196" t="s">
        <v>39</v>
      </c>
      <c r="E196" t="s">
        <v>23</v>
      </c>
      <c r="F196" t="s">
        <v>45</v>
      </c>
      <c r="G196">
        <v>5</v>
      </c>
      <c r="H196">
        <v>34066</v>
      </c>
      <c r="I196">
        <v>21351</v>
      </c>
      <c r="J196">
        <v>170330</v>
      </c>
      <c r="K196">
        <v>106755</v>
      </c>
      <c r="L196">
        <v>14925</v>
      </c>
      <c r="M196">
        <v>20000</v>
      </c>
      <c r="N196">
        <v>3000</v>
      </c>
      <c r="O196">
        <v>144680</v>
      </c>
      <c r="P196">
        <v>25650</v>
      </c>
      <c r="Q196">
        <v>2026</v>
      </c>
      <c r="R196">
        <v>5</v>
      </c>
      <c r="S196" t="s">
        <v>91</v>
      </c>
      <c r="T196">
        <v>15.06</v>
      </c>
    </row>
    <row r="197" spans="1:20" x14ac:dyDescent="0.3">
      <c r="A197" t="s">
        <v>247</v>
      </c>
      <c r="B197" s="2">
        <v>46146</v>
      </c>
      <c r="C197" t="s">
        <v>32</v>
      </c>
      <c r="D197" t="s">
        <v>39</v>
      </c>
      <c r="E197" t="s">
        <v>23</v>
      </c>
      <c r="F197" t="s">
        <v>40</v>
      </c>
      <c r="G197">
        <v>3</v>
      </c>
      <c r="H197">
        <v>31188</v>
      </c>
      <c r="I197">
        <v>21123</v>
      </c>
      <c r="J197">
        <v>93564</v>
      </c>
      <c r="K197">
        <v>63369</v>
      </c>
      <c r="L197">
        <v>13861</v>
      </c>
      <c r="M197">
        <v>0</v>
      </c>
      <c r="N197">
        <v>10000</v>
      </c>
      <c r="O197">
        <v>87230</v>
      </c>
      <c r="P197">
        <v>6334</v>
      </c>
      <c r="Q197">
        <v>2026</v>
      </c>
      <c r="R197">
        <v>5</v>
      </c>
      <c r="S197" t="s">
        <v>91</v>
      </c>
      <c r="T197">
        <v>6.77</v>
      </c>
    </row>
    <row r="198" spans="1:20" x14ac:dyDescent="0.3">
      <c r="A198" t="s">
        <v>248</v>
      </c>
      <c r="B198" s="2">
        <v>46146</v>
      </c>
      <c r="C198" t="s">
        <v>34</v>
      </c>
      <c r="D198" t="s">
        <v>35</v>
      </c>
      <c r="E198" t="s">
        <v>36</v>
      </c>
      <c r="F198" t="s">
        <v>42</v>
      </c>
      <c r="G198">
        <v>5</v>
      </c>
      <c r="H198">
        <v>505597</v>
      </c>
      <c r="I198">
        <v>407113</v>
      </c>
      <c r="J198">
        <v>2527985</v>
      </c>
      <c r="K198">
        <v>2035565</v>
      </c>
      <c r="L198">
        <v>23412</v>
      </c>
      <c r="M198">
        <v>20000</v>
      </c>
      <c r="N198">
        <v>10000</v>
      </c>
      <c r="O198">
        <v>2088977</v>
      </c>
      <c r="P198">
        <v>439008</v>
      </c>
      <c r="Q198">
        <v>2026</v>
      </c>
      <c r="R198">
        <v>5</v>
      </c>
      <c r="S198" t="s">
        <v>91</v>
      </c>
      <c r="T198">
        <v>17.37</v>
      </c>
    </row>
    <row r="199" spans="1:20" x14ac:dyDescent="0.3">
      <c r="A199" t="s">
        <v>249</v>
      </c>
      <c r="B199" s="2">
        <v>46153</v>
      </c>
      <c r="C199" t="s">
        <v>49</v>
      </c>
      <c r="D199" t="s">
        <v>56</v>
      </c>
      <c r="E199" t="s">
        <v>36</v>
      </c>
      <c r="F199" t="s">
        <v>37</v>
      </c>
      <c r="G199">
        <v>14</v>
      </c>
      <c r="H199">
        <v>142280</v>
      </c>
      <c r="I199">
        <v>102850</v>
      </c>
      <c r="J199">
        <v>1991920</v>
      </c>
      <c r="K199">
        <v>1439900</v>
      </c>
      <c r="L199">
        <v>16305</v>
      </c>
      <c r="M199">
        <v>0</v>
      </c>
      <c r="N199">
        <v>5000</v>
      </c>
      <c r="O199">
        <v>1461205</v>
      </c>
      <c r="P199">
        <v>530715</v>
      </c>
      <c r="Q199">
        <v>2026</v>
      </c>
      <c r="R199">
        <v>5</v>
      </c>
      <c r="S199" t="s">
        <v>91</v>
      </c>
      <c r="T199">
        <v>26.64</v>
      </c>
    </row>
    <row r="200" spans="1:20" x14ac:dyDescent="0.3">
      <c r="A200" t="s">
        <v>250</v>
      </c>
      <c r="B200" s="2">
        <v>46153</v>
      </c>
      <c r="C200" t="s">
        <v>32</v>
      </c>
      <c r="D200" t="s">
        <v>28</v>
      </c>
      <c r="E200" t="s">
        <v>29</v>
      </c>
      <c r="F200" t="s">
        <v>30</v>
      </c>
      <c r="G200">
        <v>13</v>
      </c>
      <c r="H200">
        <v>171476</v>
      </c>
      <c r="I200">
        <v>127547</v>
      </c>
      <c r="J200">
        <v>2229188</v>
      </c>
      <c r="K200">
        <v>1658111</v>
      </c>
      <c r="L200">
        <v>10368</v>
      </c>
      <c r="M200">
        <v>5000</v>
      </c>
      <c r="N200">
        <v>5000</v>
      </c>
      <c r="O200">
        <v>1678479</v>
      </c>
      <c r="P200">
        <v>550709</v>
      </c>
      <c r="Q200">
        <v>2026</v>
      </c>
      <c r="R200">
        <v>5</v>
      </c>
      <c r="S200" t="s">
        <v>91</v>
      </c>
      <c r="T200">
        <v>24.7</v>
      </c>
    </row>
    <row r="201" spans="1:20" x14ac:dyDescent="0.3">
      <c r="A201" t="s">
        <v>251</v>
      </c>
      <c r="B201" s="2">
        <v>46157</v>
      </c>
      <c r="C201" t="s">
        <v>27</v>
      </c>
      <c r="D201" t="s">
        <v>39</v>
      </c>
      <c r="E201" t="s">
        <v>23</v>
      </c>
      <c r="F201" t="s">
        <v>37</v>
      </c>
      <c r="G201">
        <v>10</v>
      </c>
      <c r="H201">
        <v>33235</v>
      </c>
      <c r="I201">
        <v>21408</v>
      </c>
      <c r="J201">
        <v>332350</v>
      </c>
      <c r="K201">
        <v>214080</v>
      </c>
      <c r="L201">
        <v>14416</v>
      </c>
      <c r="M201">
        <v>5000</v>
      </c>
      <c r="N201">
        <v>2000</v>
      </c>
      <c r="O201">
        <v>235496</v>
      </c>
      <c r="P201">
        <v>96854</v>
      </c>
      <c r="Q201">
        <v>2026</v>
      </c>
      <c r="R201">
        <v>5</v>
      </c>
      <c r="S201" t="s">
        <v>91</v>
      </c>
      <c r="T201">
        <v>29.14</v>
      </c>
    </row>
    <row r="202" spans="1:20" x14ac:dyDescent="0.3">
      <c r="A202" t="s">
        <v>252</v>
      </c>
      <c r="B202" s="2">
        <v>46158</v>
      </c>
      <c r="C202" t="s">
        <v>49</v>
      </c>
      <c r="D202" t="s">
        <v>28</v>
      </c>
      <c r="E202" t="s">
        <v>29</v>
      </c>
      <c r="F202" t="s">
        <v>40</v>
      </c>
      <c r="G202">
        <v>6</v>
      </c>
      <c r="H202">
        <v>166825</v>
      </c>
      <c r="I202">
        <v>136863</v>
      </c>
      <c r="J202">
        <v>1000950</v>
      </c>
      <c r="K202">
        <v>821178</v>
      </c>
      <c r="L202">
        <v>35809</v>
      </c>
      <c r="M202">
        <v>10000</v>
      </c>
      <c r="N202">
        <v>5000</v>
      </c>
      <c r="O202">
        <v>871987</v>
      </c>
      <c r="P202">
        <v>128963</v>
      </c>
      <c r="Q202">
        <v>2026</v>
      </c>
      <c r="R202">
        <v>5</v>
      </c>
      <c r="S202" t="s">
        <v>91</v>
      </c>
      <c r="T202">
        <v>12.88</v>
      </c>
    </row>
    <row r="203" spans="1:20" x14ac:dyDescent="0.3">
      <c r="A203" t="s">
        <v>253</v>
      </c>
      <c r="B203" s="2">
        <v>46163</v>
      </c>
      <c r="C203" t="s">
        <v>32</v>
      </c>
      <c r="D203" t="s">
        <v>56</v>
      </c>
      <c r="E203" t="s">
        <v>36</v>
      </c>
      <c r="F203" t="s">
        <v>45</v>
      </c>
      <c r="G203">
        <v>13</v>
      </c>
      <c r="H203">
        <v>143979</v>
      </c>
      <c r="I203">
        <v>107617</v>
      </c>
      <c r="J203">
        <v>1871727</v>
      </c>
      <c r="K203">
        <v>1399021</v>
      </c>
      <c r="L203">
        <v>29371</v>
      </c>
      <c r="M203">
        <v>20000</v>
      </c>
      <c r="N203">
        <v>5000</v>
      </c>
      <c r="O203">
        <v>1453392</v>
      </c>
      <c r="P203">
        <v>418335</v>
      </c>
      <c r="Q203">
        <v>2026</v>
      </c>
      <c r="R203">
        <v>5</v>
      </c>
      <c r="S203" t="s">
        <v>91</v>
      </c>
      <c r="T203">
        <v>22.35</v>
      </c>
    </row>
    <row r="204" spans="1:20" x14ac:dyDescent="0.3">
      <c r="A204" t="s">
        <v>254</v>
      </c>
      <c r="B204" s="2">
        <v>46172</v>
      </c>
      <c r="C204" t="s">
        <v>27</v>
      </c>
      <c r="D204" t="s">
        <v>35</v>
      </c>
      <c r="E204" t="s">
        <v>36</v>
      </c>
      <c r="F204" t="s">
        <v>42</v>
      </c>
      <c r="G204">
        <v>9</v>
      </c>
      <c r="H204">
        <v>499940</v>
      </c>
      <c r="I204">
        <v>377564</v>
      </c>
      <c r="J204">
        <v>4499460</v>
      </c>
      <c r="K204">
        <v>3398076</v>
      </c>
      <c r="L204">
        <v>15572</v>
      </c>
      <c r="M204">
        <v>5000</v>
      </c>
      <c r="N204">
        <v>5000</v>
      </c>
      <c r="O204">
        <v>3423648</v>
      </c>
      <c r="P204">
        <v>1075812</v>
      </c>
      <c r="Q204">
        <v>2026</v>
      </c>
      <c r="R204">
        <v>5</v>
      </c>
      <c r="S204" t="s">
        <v>91</v>
      </c>
      <c r="T204">
        <v>23.91</v>
      </c>
    </row>
    <row r="205" spans="1:20" x14ac:dyDescent="0.3">
      <c r="A205" t="s">
        <v>255</v>
      </c>
      <c r="B205" s="2">
        <v>46177</v>
      </c>
      <c r="C205" t="s">
        <v>32</v>
      </c>
      <c r="D205" t="s">
        <v>39</v>
      </c>
      <c r="E205" t="s">
        <v>23</v>
      </c>
      <c r="F205" t="s">
        <v>45</v>
      </c>
      <c r="G205">
        <v>8</v>
      </c>
      <c r="H205">
        <v>34190</v>
      </c>
      <c r="I205">
        <v>20643</v>
      </c>
      <c r="J205">
        <v>273520</v>
      </c>
      <c r="K205">
        <v>165144</v>
      </c>
      <c r="L205">
        <v>6931</v>
      </c>
      <c r="M205">
        <v>10000</v>
      </c>
      <c r="N205">
        <v>5000</v>
      </c>
      <c r="O205">
        <v>187075</v>
      </c>
      <c r="P205">
        <v>86445</v>
      </c>
      <c r="Q205">
        <v>2026</v>
      </c>
      <c r="R205">
        <v>6</v>
      </c>
      <c r="S205" t="s">
        <v>105</v>
      </c>
      <c r="T205">
        <v>31.6</v>
      </c>
    </row>
    <row r="206" spans="1:20" x14ac:dyDescent="0.3">
      <c r="A206" t="s">
        <v>256</v>
      </c>
      <c r="B206" s="2">
        <v>46177</v>
      </c>
      <c r="C206" t="s">
        <v>32</v>
      </c>
      <c r="D206" t="s">
        <v>39</v>
      </c>
      <c r="E206" t="s">
        <v>23</v>
      </c>
      <c r="F206" t="s">
        <v>24</v>
      </c>
      <c r="G206">
        <v>1</v>
      </c>
      <c r="H206">
        <v>32724</v>
      </c>
      <c r="I206">
        <v>21036</v>
      </c>
      <c r="J206">
        <v>32724</v>
      </c>
      <c r="K206">
        <v>21036</v>
      </c>
      <c r="L206">
        <v>32286</v>
      </c>
      <c r="M206">
        <v>15000</v>
      </c>
      <c r="N206">
        <v>5000</v>
      </c>
      <c r="O206">
        <v>73322</v>
      </c>
      <c r="P206">
        <v>-40598</v>
      </c>
      <c r="Q206">
        <v>2026</v>
      </c>
      <c r="R206">
        <v>6</v>
      </c>
      <c r="S206" t="s">
        <v>105</v>
      </c>
      <c r="T206">
        <v>-124.06</v>
      </c>
    </row>
    <row r="207" spans="1:20" x14ac:dyDescent="0.3">
      <c r="A207" t="s">
        <v>257</v>
      </c>
      <c r="B207" s="2">
        <v>46177</v>
      </c>
      <c r="C207" t="s">
        <v>34</v>
      </c>
      <c r="D207" t="s">
        <v>35</v>
      </c>
      <c r="E207" t="s">
        <v>36</v>
      </c>
      <c r="F207" t="s">
        <v>42</v>
      </c>
      <c r="G207">
        <v>14</v>
      </c>
      <c r="H207">
        <v>497843</v>
      </c>
      <c r="I207">
        <v>396625</v>
      </c>
      <c r="J207">
        <v>6969802</v>
      </c>
      <c r="K207">
        <v>5552750</v>
      </c>
      <c r="L207">
        <v>12510</v>
      </c>
      <c r="M207">
        <v>10000</v>
      </c>
      <c r="N207">
        <v>3000</v>
      </c>
      <c r="O207">
        <v>5578260</v>
      </c>
      <c r="P207">
        <v>1391542</v>
      </c>
      <c r="Q207">
        <v>2026</v>
      </c>
      <c r="R207">
        <v>6</v>
      </c>
      <c r="S207" t="s">
        <v>105</v>
      </c>
      <c r="T207">
        <v>19.97</v>
      </c>
    </row>
    <row r="208" spans="1:20" x14ac:dyDescent="0.3">
      <c r="A208" t="s">
        <v>258</v>
      </c>
      <c r="B208" s="2">
        <v>46177</v>
      </c>
      <c r="C208" t="s">
        <v>34</v>
      </c>
      <c r="D208" t="s">
        <v>35</v>
      </c>
      <c r="E208" t="s">
        <v>36</v>
      </c>
      <c r="F208" t="s">
        <v>42</v>
      </c>
      <c r="G208">
        <v>8</v>
      </c>
      <c r="H208">
        <v>485180</v>
      </c>
      <c r="I208">
        <v>372941</v>
      </c>
      <c r="J208">
        <v>3881440</v>
      </c>
      <c r="K208">
        <v>2983528</v>
      </c>
      <c r="L208">
        <v>18008</v>
      </c>
      <c r="M208">
        <v>0</v>
      </c>
      <c r="N208">
        <v>2000</v>
      </c>
      <c r="O208">
        <v>3003536</v>
      </c>
      <c r="P208">
        <v>877904</v>
      </c>
      <c r="Q208">
        <v>2026</v>
      </c>
      <c r="R208">
        <v>6</v>
      </c>
      <c r="S208" t="s">
        <v>105</v>
      </c>
      <c r="T208">
        <v>22.62</v>
      </c>
    </row>
    <row r="209" spans="1:20" x14ac:dyDescent="0.3">
      <c r="A209" t="s">
        <v>259</v>
      </c>
      <c r="B209" s="2">
        <v>46177</v>
      </c>
      <c r="C209" t="s">
        <v>49</v>
      </c>
      <c r="D209" t="s">
        <v>56</v>
      </c>
      <c r="E209" t="s">
        <v>36</v>
      </c>
      <c r="F209" t="s">
        <v>45</v>
      </c>
      <c r="G209">
        <v>10</v>
      </c>
      <c r="H209">
        <v>138903</v>
      </c>
      <c r="I209">
        <v>108895</v>
      </c>
      <c r="J209">
        <v>1389030</v>
      </c>
      <c r="K209">
        <v>1088950</v>
      </c>
      <c r="L209">
        <v>7930</v>
      </c>
      <c r="M209">
        <v>15000</v>
      </c>
      <c r="N209">
        <v>10000</v>
      </c>
      <c r="O209">
        <v>1121880</v>
      </c>
      <c r="P209">
        <v>267150</v>
      </c>
      <c r="Q209">
        <v>2026</v>
      </c>
      <c r="R209">
        <v>6</v>
      </c>
      <c r="S209" t="s">
        <v>105</v>
      </c>
      <c r="T209">
        <v>19.23</v>
      </c>
    </row>
    <row r="210" spans="1:20" x14ac:dyDescent="0.3">
      <c r="A210" t="s">
        <v>260</v>
      </c>
      <c r="B210" s="2">
        <v>46179</v>
      </c>
      <c r="C210" t="s">
        <v>27</v>
      </c>
      <c r="D210" t="s">
        <v>56</v>
      </c>
      <c r="E210" t="s">
        <v>36</v>
      </c>
      <c r="F210" t="s">
        <v>42</v>
      </c>
      <c r="G210">
        <v>13</v>
      </c>
      <c r="H210">
        <v>141989</v>
      </c>
      <c r="I210">
        <v>101016</v>
      </c>
      <c r="J210">
        <v>1845857</v>
      </c>
      <c r="K210">
        <v>1313208</v>
      </c>
      <c r="L210">
        <v>25560</v>
      </c>
      <c r="M210">
        <v>5000</v>
      </c>
      <c r="N210">
        <v>8000</v>
      </c>
      <c r="O210">
        <v>1351768</v>
      </c>
      <c r="P210">
        <v>494089</v>
      </c>
      <c r="Q210">
        <v>2026</v>
      </c>
      <c r="R210">
        <v>6</v>
      </c>
      <c r="S210" t="s">
        <v>105</v>
      </c>
      <c r="T210">
        <v>26.77</v>
      </c>
    </row>
    <row r="211" spans="1:20" x14ac:dyDescent="0.3">
      <c r="A211" t="s">
        <v>261</v>
      </c>
      <c r="B211" s="2">
        <v>46185</v>
      </c>
      <c r="C211" t="s">
        <v>27</v>
      </c>
      <c r="D211" t="s">
        <v>39</v>
      </c>
      <c r="E211" t="s">
        <v>23</v>
      </c>
      <c r="F211" t="s">
        <v>40</v>
      </c>
      <c r="G211">
        <v>6</v>
      </c>
      <c r="H211">
        <v>34085</v>
      </c>
      <c r="I211">
        <v>20233</v>
      </c>
      <c r="J211">
        <v>204510</v>
      </c>
      <c r="K211">
        <v>121398</v>
      </c>
      <c r="L211">
        <v>19732</v>
      </c>
      <c r="M211">
        <v>5000</v>
      </c>
      <c r="N211">
        <v>3000</v>
      </c>
      <c r="O211">
        <v>149130</v>
      </c>
      <c r="P211">
        <v>55380</v>
      </c>
      <c r="Q211">
        <v>2026</v>
      </c>
      <c r="R211">
        <v>6</v>
      </c>
      <c r="S211" t="s">
        <v>105</v>
      </c>
      <c r="T211">
        <v>27.08</v>
      </c>
    </row>
    <row r="212" spans="1:20" x14ac:dyDescent="0.3">
      <c r="A212" t="s">
        <v>262</v>
      </c>
      <c r="B212" s="2">
        <v>46185</v>
      </c>
      <c r="C212" t="s">
        <v>32</v>
      </c>
      <c r="D212" t="s">
        <v>22</v>
      </c>
      <c r="E212" t="s">
        <v>23</v>
      </c>
      <c r="F212" t="s">
        <v>30</v>
      </c>
      <c r="G212">
        <v>6</v>
      </c>
      <c r="H212">
        <v>22397</v>
      </c>
      <c r="I212">
        <v>14766</v>
      </c>
      <c r="J212">
        <v>134382</v>
      </c>
      <c r="K212">
        <v>88596</v>
      </c>
      <c r="L212">
        <v>15870</v>
      </c>
      <c r="M212">
        <v>10000</v>
      </c>
      <c r="N212">
        <v>3000</v>
      </c>
      <c r="O212">
        <v>117466</v>
      </c>
      <c r="P212">
        <v>16916</v>
      </c>
      <c r="Q212">
        <v>2026</v>
      </c>
      <c r="R212">
        <v>6</v>
      </c>
      <c r="S212" t="s">
        <v>105</v>
      </c>
      <c r="T212">
        <v>12.59</v>
      </c>
    </row>
    <row r="213" spans="1:20" x14ac:dyDescent="0.3">
      <c r="A213" t="s">
        <v>263</v>
      </c>
      <c r="B213" s="2">
        <v>46187</v>
      </c>
      <c r="C213" t="s">
        <v>21</v>
      </c>
      <c r="D213" t="s">
        <v>28</v>
      </c>
      <c r="E213" t="s">
        <v>29</v>
      </c>
      <c r="F213" t="s">
        <v>37</v>
      </c>
      <c r="G213">
        <v>15</v>
      </c>
      <c r="H213">
        <v>182488</v>
      </c>
      <c r="I213">
        <v>131384</v>
      </c>
      <c r="J213">
        <v>2737320</v>
      </c>
      <c r="K213">
        <v>1970760</v>
      </c>
      <c r="L213">
        <v>30325</v>
      </c>
      <c r="M213">
        <v>5000</v>
      </c>
      <c r="N213">
        <v>3000</v>
      </c>
      <c r="O213">
        <v>2009085</v>
      </c>
      <c r="P213">
        <v>728235</v>
      </c>
      <c r="Q213">
        <v>2026</v>
      </c>
      <c r="R213">
        <v>6</v>
      </c>
      <c r="S213" t="s">
        <v>105</v>
      </c>
      <c r="T213">
        <v>26.6</v>
      </c>
    </row>
    <row r="214" spans="1:20" x14ac:dyDescent="0.3">
      <c r="A214" t="s">
        <v>264</v>
      </c>
      <c r="B214" s="2">
        <v>46189</v>
      </c>
      <c r="C214" t="s">
        <v>27</v>
      </c>
      <c r="D214" t="s">
        <v>28</v>
      </c>
      <c r="E214" t="s">
        <v>29</v>
      </c>
      <c r="F214" t="s">
        <v>24</v>
      </c>
      <c r="G214">
        <v>12</v>
      </c>
      <c r="H214">
        <v>179897</v>
      </c>
      <c r="I214">
        <v>129658</v>
      </c>
      <c r="J214">
        <v>2158764</v>
      </c>
      <c r="K214">
        <v>1555896</v>
      </c>
      <c r="L214">
        <v>10913</v>
      </c>
      <c r="M214">
        <v>20000</v>
      </c>
      <c r="N214">
        <v>5000</v>
      </c>
      <c r="O214">
        <v>1591809</v>
      </c>
      <c r="P214">
        <v>566955</v>
      </c>
      <c r="Q214">
        <v>2026</v>
      </c>
      <c r="R214">
        <v>6</v>
      </c>
      <c r="S214" t="s">
        <v>105</v>
      </c>
      <c r="T214">
        <v>26.26</v>
      </c>
    </row>
    <row r="215" spans="1:20" x14ac:dyDescent="0.3">
      <c r="A215" t="s">
        <v>265</v>
      </c>
      <c r="B215" s="2">
        <v>46201</v>
      </c>
      <c r="C215" t="s">
        <v>32</v>
      </c>
      <c r="D215" t="s">
        <v>39</v>
      </c>
      <c r="E215" t="s">
        <v>23</v>
      </c>
      <c r="F215" t="s">
        <v>42</v>
      </c>
      <c r="G215">
        <v>6</v>
      </c>
      <c r="H215">
        <v>35302</v>
      </c>
      <c r="I215">
        <v>22009</v>
      </c>
      <c r="J215">
        <v>211812</v>
      </c>
      <c r="K215">
        <v>132054</v>
      </c>
      <c r="L215">
        <v>31344</v>
      </c>
      <c r="M215">
        <v>20000</v>
      </c>
      <c r="N215">
        <v>8000</v>
      </c>
      <c r="O215">
        <v>191398</v>
      </c>
      <c r="P215">
        <v>20414</v>
      </c>
      <c r="Q215">
        <v>2026</v>
      </c>
      <c r="R215">
        <v>6</v>
      </c>
      <c r="S215" t="s">
        <v>105</v>
      </c>
      <c r="T215">
        <v>9.64</v>
      </c>
    </row>
    <row r="216" spans="1:20" x14ac:dyDescent="0.3">
      <c r="A216" t="s">
        <v>266</v>
      </c>
      <c r="B216" s="2">
        <v>46201</v>
      </c>
      <c r="C216" t="s">
        <v>32</v>
      </c>
      <c r="D216" t="s">
        <v>35</v>
      </c>
      <c r="E216" t="s">
        <v>36</v>
      </c>
      <c r="F216" t="s">
        <v>40</v>
      </c>
      <c r="G216">
        <v>6</v>
      </c>
      <c r="H216">
        <v>492908</v>
      </c>
      <c r="I216">
        <v>375299</v>
      </c>
      <c r="J216">
        <v>2957448</v>
      </c>
      <c r="K216">
        <v>2251794</v>
      </c>
      <c r="L216">
        <v>21118</v>
      </c>
      <c r="M216">
        <v>10000</v>
      </c>
      <c r="N216">
        <v>3000</v>
      </c>
      <c r="O216">
        <v>2285912</v>
      </c>
      <c r="P216">
        <v>671536</v>
      </c>
      <c r="Q216">
        <v>2026</v>
      </c>
      <c r="R216">
        <v>6</v>
      </c>
      <c r="S216" t="s">
        <v>105</v>
      </c>
      <c r="T216">
        <v>22.71</v>
      </c>
    </row>
    <row r="217" spans="1:20" x14ac:dyDescent="0.3">
      <c r="A217" t="s">
        <v>267</v>
      </c>
      <c r="B217" s="2">
        <v>46207</v>
      </c>
      <c r="C217" t="s">
        <v>27</v>
      </c>
      <c r="D217" t="s">
        <v>28</v>
      </c>
      <c r="E217" t="s">
        <v>29</v>
      </c>
      <c r="F217" t="s">
        <v>40</v>
      </c>
      <c r="G217">
        <v>2</v>
      </c>
      <c r="H217">
        <v>191301</v>
      </c>
      <c r="I217">
        <v>127235</v>
      </c>
      <c r="J217">
        <v>382602</v>
      </c>
      <c r="K217">
        <v>254470</v>
      </c>
      <c r="L217">
        <v>24024</v>
      </c>
      <c r="M217">
        <v>10000</v>
      </c>
      <c r="N217">
        <v>2000</v>
      </c>
      <c r="O217">
        <v>290494</v>
      </c>
      <c r="P217">
        <v>92108</v>
      </c>
      <c r="Q217">
        <v>2026</v>
      </c>
      <c r="R217">
        <v>7</v>
      </c>
      <c r="S217" t="s">
        <v>118</v>
      </c>
      <c r="T217">
        <v>24.07</v>
      </c>
    </row>
    <row r="218" spans="1:20" x14ac:dyDescent="0.3">
      <c r="A218" t="s">
        <v>268</v>
      </c>
      <c r="B218" s="2">
        <v>46207</v>
      </c>
      <c r="C218" t="s">
        <v>34</v>
      </c>
      <c r="D218" t="s">
        <v>28</v>
      </c>
      <c r="E218" t="s">
        <v>29</v>
      </c>
      <c r="F218" t="s">
        <v>30</v>
      </c>
      <c r="G218">
        <v>2</v>
      </c>
      <c r="H218">
        <v>164234</v>
      </c>
      <c r="I218">
        <v>125762</v>
      </c>
      <c r="J218">
        <v>328468</v>
      </c>
      <c r="K218">
        <v>251524</v>
      </c>
      <c r="L218">
        <v>6382</v>
      </c>
      <c r="M218">
        <v>10000</v>
      </c>
      <c r="N218">
        <v>10000</v>
      </c>
      <c r="O218">
        <v>277906</v>
      </c>
      <c r="P218">
        <v>50562</v>
      </c>
      <c r="Q218">
        <v>2026</v>
      </c>
      <c r="R218">
        <v>7</v>
      </c>
      <c r="S218" t="s">
        <v>118</v>
      </c>
      <c r="T218">
        <v>15.39</v>
      </c>
    </row>
    <row r="219" spans="1:20" x14ac:dyDescent="0.3">
      <c r="A219" t="s">
        <v>269</v>
      </c>
      <c r="B219" s="2">
        <v>46209</v>
      </c>
      <c r="C219" t="s">
        <v>32</v>
      </c>
      <c r="D219" t="s">
        <v>28</v>
      </c>
      <c r="E219" t="s">
        <v>29</v>
      </c>
      <c r="F219" t="s">
        <v>30</v>
      </c>
      <c r="G219">
        <v>12</v>
      </c>
      <c r="H219">
        <v>165482</v>
      </c>
      <c r="I219">
        <v>125062</v>
      </c>
      <c r="J219">
        <v>1985784</v>
      </c>
      <c r="K219">
        <v>1500744</v>
      </c>
      <c r="L219">
        <v>36596</v>
      </c>
      <c r="M219">
        <v>20000</v>
      </c>
      <c r="N219">
        <v>3000</v>
      </c>
      <c r="O219">
        <v>1560340</v>
      </c>
      <c r="P219">
        <v>425444</v>
      </c>
      <c r="Q219">
        <v>2026</v>
      </c>
      <c r="R219">
        <v>7</v>
      </c>
      <c r="S219" t="s">
        <v>118</v>
      </c>
      <c r="T219">
        <v>21.42</v>
      </c>
    </row>
    <row r="220" spans="1:20" x14ac:dyDescent="0.3">
      <c r="A220" t="s">
        <v>270</v>
      </c>
      <c r="B220" s="2">
        <v>46213</v>
      </c>
      <c r="C220" t="s">
        <v>49</v>
      </c>
      <c r="D220" t="s">
        <v>56</v>
      </c>
      <c r="E220" t="s">
        <v>36</v>
      </c>
      <c r="F220" t="s">
        <v>37</v>
      </c>
      <c r="G220">
        <v>1</v>
      </c>
      <c r="H220">
        <v>132263</v>
      </c>
      <c r="I220">
        <v>104603</v>
      </c>
      <c r="J220">
        <v>132263</v>
      </c>
      <c r="K220">
        <v>104603</v>
      </c>
      <c r="L220">
        <v>30174</v>
      </c>
      <c r="M220">
        <v>0</v>
      </c>
      <c r="N220">
        <v>10000</v>
      </c>
      <c r="O220">
        <v>144777</v>
      </c>
      <c r="P220">
        <v>-12514</v>
      </c>
      <c r="Q220">
        <v>2026</v>
      </c>
      <c r="R220">
        <v>7</v>
      </c>
      <c r="S220" t="s">
        <v>118</v>
      </c>
      <c r="T220">
        <v>-9.4600000000000009</v>
      </c>
    </row>
    <row r="221" spans="1:20" x14ac:dyDescent="0.3">
      <c r="A221" t="s">
        <v>271</v>
      </c>
      <c r="B221" s="2">
        <v>46216</v>
      </c>
      <c r="C221" t="s">
        <v>21</v>
      </c>
      <c r="D221" t="s">
        <v>56</v>
      </c>
      <c r="E221" t="s">
        <v>36</v>
      </c>
      <c r="F221" t="s">
        <v>24</v>
      </c>
      <c r="G221">
        <v>8</v>
      </c>
      <c r="H221">
        <v>147240</v>
      </c>
      <c r="I221">
        <v>109099</v>
      </c>
      <c r="J221">
        <v>1177920</v>
      </c>
      <c r="K221">
        <v>872792</v>
      </c>
      <c r="L221">
        <v>6515</v>
      </c>
      <c r="M221">
        <v>5000</v>
      </c>
      <c r="N221">
        <v>8000</v>
      </c>
      <c r="O221">
        <v>892307</v>
      </c>
      <c r="P221">
        <v>285613</v>
      </c>
      <c r="Q221">
        <v>2026</v>
      </c>
      <c r="R221">
        <v>7</v>
      </c>
      <c r="S221" t="s">
        <v>118</v>
      </c>
      <c r="T221">
        <v>24.25</v>
      </c>
    </row>
    <row r="222" spans="1:20" x14ac:dyDescent="0.3">
      <c r="A222" t="s">
        <v>272</v>
      </c>
      <c r="B222" s="2">
        <v>46222</v>
      </c>
      <c r="C222" t="s">
        <v>21</v>
      </c>
      <c r="D222" t="s">
        <v>22</v>
      </c>
      <c r="E222" t="s">
        <v>23</v>
      </c>
      <c r="F222" t="s">
        <v>37</v>
      </c>
      <c r="G222">
        <v>7</v>
      </c>
      <c r="H222">
        <v>24077</v>
      </c>
      <c r="I222">
        <v>13652</v>
      </c>
      <c r="J222">
        <v>168539</v>
      </c>
      <c r="K222">
        <v>95564</v>
      </c>
      <c r="L222">
        <v>20132</v>
      </c>
      <c r="M222">
        <v>15000</v>
      </c>
      <c r="N222">
        <v>8000</v>
      </c>
      <c r="O222">
        <v>138696</v>
      </c>
      <c r="P222">
        <v>29843</v>
      </c>
      <c r="Q222">
        <v>2026</v>
      </c>
      <c r="R222">
        <v>7</v>
      </c>
      <c r="S222" t="s">
        <v>118</v>
      </c>
      <c r="T222">
        <v>17.71</v>
      </c>
    </row>
    <row r="223" spans="1:20" x14ac:dyDescent="0.3">
      <c r="A223" t="s">
        <v>273</v>
      </c>
      <c r="B223" s="2">
        <v>46224</v>
      </c>
      <c r="C223" t="s">
        <v>34</v>
      </c>
      <c r="D223" t="s">
        <v>39</v>
      </c>
      <c r="E223" t="s">
        <v>23</v>
      </c>
      <c r="F223" t="s">
        <v>24</v>
      </c>
      <c r="G223">
        <v>7</v>
      </c>
      <c r="H223">
        <v>35139</v>
      </c>
      <c r="I223">
        <v>21221</v>
      </c>
      <c r="J223">
        <v>245973</v>
      </c>
      <c r="K223">
        <v>148547</v>
      </c>
      <c r="L223">
        <v>20660</v>
      </c>
      <c r="M223">
        <v>15000</v>
      </c>
      <c r="N223">
        <v>5000</v>
      </c>
      <c r="O223">
        <v>189207</v>
      </c>
      <c r="P223">
        <v>56766</v>
      </c>
      <c r="Q223">
        <v>2026</v>
      </c>
      <c r="R223">
        <v>7</v>
      </c>
      <c r="S223" t="s">
        <v>118</v>
      </c>
      <c r="T223">
        <v>23.08</v>
      </c>
    </row>
    <row r="224" spans="1:20" x14ac:dyDescent="0.3">
      <c r="A224" t="s">
        <v>274</v>
      </c>
      <c r="B224" s="2">
        <v>46225</v>
      </c>
      <c r="C224" t="s">
        <v>27</v>
      </c>
      <c r="D224" t="s">
        <v>28</v>
      </c>
      <c r="E224" t="s">
        <v>29</v>
      </c>
      <c r="F224" t="s">
        <v>24</v>
      </c>
      <c r="G224">
        <v>15</v>
      </c>
      <c r="H224">
        <v>172584</v>
      </c>
      <c r="I224">
        <v>125151</v>
      </c>
      <c r="J224">
        <v>2588760</v>
      </c>
      <c r="K224">
        <v>1877265</v>
      </c>
      <c r="L224">
        <v>8507</v>
      </c>
      <c r="M224">
        <v>20000</v>
      </c>
      <c r="N224">
        <v>3000</v>
      </c>
      <c r="O224">
        <v>1908772</v>
      </c>
      <c r="P224">
        <v>679988</v>
      </c>
      <c r="Q224">
        <v>2026</v>
      </c>
      <c r="R224">
        <v>7</v>
      </c>
      <c r="S224" t="s">
        <v>118</v>
      </c>
      <c r="T224">
        <v>26.27</v>
      </c>
    </row>
    <row r="225" spans="1:20" x14ac:dyDescent="0.3">
      <c r="A225" t="s">
        <v>275</v>
      </c>
      <c r="B225" s="2">
        <v>46227</v>
      </c>
      <c r="C225" t="s">
        <v>27</v>
      </c>
      <c r="D225" t="s">
        <v>28</v>
      </c>
      <c r="E225" t="s">
        <v>29</v>
      </c>
      <c r="F225" t="s">
        <v>42</v>
      </c>
      <c r="G225">
        <v>13</v>
      </c>
      <c r="H225">
        <v>176220</v>
      </c>
      <c r="I225">
        <v>126734</v>
      </c>
      <c r="J225">
        <v>2290860</v>
      </c>
      <c r="K225">
        <v>1647542</v>
      </c>
      <c r="L225">
        <v>19061</v>
      </c>
      <c r="M225">
        <v>20000</v>
      </c>
      <c r="N225">
        <v>10000</v>
      </c>
      <c r="O225">
        <v>1696603</v>
      </c>
      <c r="P225">
        <v>594257</v>
      </c>
      <c r="Q225">
        <v>2026</v>
      </c>
      <c r="R225">
        <v>7</v>
      </c>
      <c r="S225" t="s">
        <v>118</v>
      </c>
      <c r="T225">
        <v>25.94</v>
      </c>
    </row>
    <row r="226" spans="1:20" x14ac:dyDescent="0.3">
      <c r="A226" t="s">
        <v>276</v>
      </c>
      <c r="B226" s="2">
        <v>46228</v>
      </c>
      <c r="C226" t="s">
        <v>32</v>
      </c>
      <c r="D226" t="s">
        <v>35</v>
      </c>
      <c r="E226" t="s">
        <v>36</v>
      </c>
      <c r="F226" t="s">
        <v>45</v>
      </c>
      <c r="G226">
        <v>15</v>
      </c>
      <c r="H226">
        <v>504489</v>
      </c>
      <c r="I226">
        <v>400250</v>
      </c>
      <c r="J226">
        <v>7567335</v>
      </c>
      <c r="K226">
        <v>6003750</v>
      </c>
      <c r="L226">
        <v>7435</v>
      </c>
      <c r="M226">
        <v>5000</v>
      </c>
      <c r="N226">
        <v>5000</v>
      </c>
      <c r="O226">
        <v>6021185</v>
      </c>
      <c r="P226">
        <v>1546150</v>
      </c>
      <c r="Q226">
        <v>2026</v>
      </c>
      <c r="R226">
        <v>7</v>
      </c>
      <c r="S226" t="s">
        <v>118</v>
      </c>
      <c r="T226">
        <v>20.43</v>
      </c>
    </row>
    <row r="227" spans="1:20" x14ac:dyDescent="0.3">
      <c r="A227" t="s">
        <v>277</v>
      </c>
      <c r="B227" s="2">
        <v>46230</v>
      </c>
      <c r="C227" t="s">
        <v>34</v>
      </c>
      <c r="D227" t="s">
        <v>22</v>
      </c>
      <c r="E227" t="s">
        <v>23</v>
      </c>
      <c r="F227" t="s">
        <v>40</v>
      </c>
      <c r="G227">
        <v>2</v>
      </c>
      <c r="H227">
        <v>23147</v>
      </c>
      <c r="I227">
        <v>14443</v>
      </c>
      <c r="J227">
        <v>46294</v>
      </c>
      <c r="K227">
        <v>28886</v>
      </c>
      <c r="L227">
        <v>24118</v>
      </c>
      <c r="M227">
        <v>0</v>
      </c>
      <c r="N227">
        <v>8000</v>
      </c>
      <c r="O227">
        <v>61004</v>
      </c>
      <c r="P227">
        <v>-14710</v>
      </c>
      <c r="Q227">
        <v>2026</v>
      </c>
      <c r="R227">
        <v>7</v>
      </c>
      <c r="S227" t="s">
        <v>118</v>
      </c>
      <c r="T227">
        <v>-31.78</v>
      </c>
    </row>
    <row r="228" spans="1:20" x14ac:dyDescent="0.3">
      <c r="A228" t="s">
        <v>278</v>
      </c>
      <c r="B228" s="2">
        <v>46232</v>
      </c>
      <c r="C228" t="s">
        <v>34</v>
      </c>
      <c r="D228" t="s">
        <v>39</v>
      </c>
      <c r="E228" t="s">
        <v>23</v>
      </c>
      <c r="F228" t="s">
        <v>30</v>
      </c>
      <c r="G228">
        <v>12</v>
      </c>
      <c r="H228">
        <v>33261</v>
      </c>
      <c r="I228">
        <v>22024</v>
      </c>
      <c r="J228">
        <v>399132</v>
      </c>
      <c r="K228">
        <v>264288</v>
      </c>
      <c r="L228">
        <v>22609</v>
      </c>
      <c r="M228">
        <v>10000</v>
      </c>
      <c r="N228">
        <v>3000</v>
      </c>
      <c r="O228">
        <v>299897</v>
      </c>
      <c r="P228">
        <v>99235</v>
      </c>
      <c r="Q228">
        <v>2026</v>
      </c>
      <c r="R228">
        <v>7</v>
      </c>
      <c r="S228" t="s">
        <v>118</v>
      </c>
      <c r="T228">
        <v>24.86</v>
      </c>
    </row>
    <row r="229" spans="1:20" x14ac:dyDescent="0.3">
      <c r="A229" t="s">
        <v>279</v>
      </c>
      <c r="B229" s="2">
        <v>46233</v>
      </c>
      <c r="C229" t="s">
        <v>34</v>
      </c>
      <c r="D229" t="s">
        <v>35</v>
      </c>
      <c r="E229" t="s">
        <v>36</v>
      </c>
      <c r="F229" t="s">
        <v>30</v>
      </c>
      <c r="G229">
        <v>13</v>
      </c>
      <c r="H229">
        <v>472207</v>
      </c>
      <c r="I229">
        <v>389645</v>
      </c>
      <c r="J229">
        <v>6138691</v>
      </c>
      <c r="K229">
        <v>5065385</v>
      </c>
      <c r="L229">
        <v>31311</v>
      </c>
      <c r="M229">
        <v>10000</v>
      </c>
      <c r="N229">
        <v>8000</v>
      </c>
      <c r="O229">
        <v>5114696</v>
      </c>
      <c r="P229">
        <v>1023995</v>
      </c>
      <c r="Q229">
        <v>2026</v>
      </c>
      <c r="R229">
        <v>7</v>
      </c>
      <c r="S229" t="s">
        <v>118</v>
      </c>
      <c r="T229">
        <v>16.68</v>
      </c>
    </row>
    <row r="230" spans="1:20" x14ac:dyDescent="0.3">
      <c r="A230" t="s">
        <v>280</v>
      </c>
      <c r="B230" s="2">
        <v>46233</v>
      </c>
      <c r="C230" t="s">
        <v>34</v>
      </c>
      <c r="D230" t="s">
        <v>39</v>
      </c>
      <c r="E230" t="s">
        <v>23</v>
      </c>
      <c r="F230" t="s">
        <v>24</v>
      </c>
      <c r="G230">
        <v>11</v>
      </c>
      <c r="H230">
        <v>31154</v>
      </c>
      <c r="I230">
        <v>20767</v>
      </c>
      <c r="J230">
        <v>342694</v>
      </c>
      <c r="K230">
        <v>228437</v>
      </c>
      <c r="L230">
        <v>33501</v>
      </c>
      <c r="M230">
        <v>15000</v>
      </c>
      <c r="N230">
        <v>2000</v>
      </c>
      <c r="O230">
        <v>278938</v>
      </c>
      <c r="P230">
        <v>63756</v>
      </c>
      <c r="Q230">
        <v>2026</v>
      </c>
      <c r="R230">
        <v>7</v>
      </c>
      <c r="S230" t="s">
        <v>118</v>
      </c>
      <c r="T230">
        <v>18.600000000000001</v>
      </c>
    </row>
    <row r="231" spans="1:20" x14ac:dyDescent="0.3">
      <c r="A231" t="s">
        <v>281</v>
      </c>
      <c r="B231" s="2">
        <v>46234</v>
      </c>
      <c r="C231" t="s">
        <v>27</v>
      </c>
      <c r="D231" t="s">
        <v>35</v>
      </c>
      <c r="E231" t="s">
        <v>36</v>
      </c>
      <c r="F231" t="s">
        <v>24</v>
      </c>
      <c r="G231">
        <v>9</v>
      </c>
      <c r="H231">
        <v>504318</v>
      </c>
      <c r="I231">
        <v>381877</v>
      </c>
      <c r="J231">
        <v>4538862</v>
      </c>
      <c r="K231">
        <v>3436893</v>
      </c>
      <c r="L231">
        <v>16436</v>
      </c>
      <c r="M231">
        <v>0</v>
      </c>
      <c r="N231">
        <v>3000</v>
      </c>
      <c r="O231">
        <v>3456329</v>
      </c>
      <c r="P231">
        <v>1082533</v>
      </c>
      <c r="Q231">
        <v>2026</v>
      </c>
      <c r="R231">
        <v>7</v>
      </c>
      <c r="S231" t="s">
        <v>118</v>
      </c>
      <c r="T231">
        <v>23.85</v>
      </c>
    </row>
    <row r="232" spans="1:20" x14ac:dyDescent="0.3">
      <c r="A232" t="s">
        <v>282</v>
      </c>
      <c r="B232" s="2">
        <v>46235</v>
      </c>
      <c r="C232" t="s">
        <v>27</v>
      </c>
      <c r="D232" t="s">
        <v>35</v>
      </c>
      <c r="E232" t="s">
        <v>36</v>
      </c>
      <c r="F232" t="s">
        <v>42</v>
      </c>
      <c r="G232">
        <v>2</v>
      </c>
      <c r="H232">
        <v>492110</v>
      </c>
      <c r="I232">
        <v>398018</v>
      </c>
      <c r="J232">
        <v>984220</v>
      </c>
      <c r="K232">
        <v>796036</v>
      </c>
      <c r="L232">
        <v>23899</v>
      </c>
      <c r="M232">
        <v>10000</v>
      </c>
      <c r="N232">
        <v>3000</v>
      </c>
      <c r="O232">
        <v>832935</v>
      </c>
      <c r="P232">
        <v>151285</v>
      </c>
      <c r="Q232">
        <v>2026</v>
      </c>
      <c r="R232">
        <v>8</v>
      </c>
      <c r="S232" t="s">
        <v>127</v>
      </c>
      <c r="T232">
        <v>15.37</v>
      </c>
    </row>
    <row r="233" spans="1:20" x14ac:dyDescent="0.3">
      <c r="A233" t="s">
        <v>283</v>
      </c>
      <c r="B233" s="2">
        <v>46240</v>
      </c>
      <c r="C233" t="s">
        <v>49</v>
      </c>
      <c r="D233" t="s">
        <v>28</v>
      </c>
      <c r="E233" t="s">
        <v>29</v>
      </c>
      <c r="F233" t="s">
        <v>42</v>
      </c>
      <c r="G233">
        <v>9</v>
      </c>
      <c r="H233">
        <v>173091</v>
      </c>
      <c r="I233">
        <v>127845</v>
      </c>
      <c r="J233">
        <v>1557819</v>
      </c>
      <c r="K233">
        <v>1150605</v>
      </c>
      <c r="L233">
        <v>14859</v>
      </c>
      <c r="M233">
        <v>15000</v>
      </c>
      <c r="N233">
        <v>10000</v>
      </c>
      <c r="O233">
        <v>1190464</v>
      </c>
      <c r="P233">
        <v>367355</v>
      </c>
      <c r="Q233">
        <v>2026</v>
      </c>
      <c r="R233">
        <v>8</v>
      </c>
      <c r="S233" t="s">
        <v>127</v>
      </c>
      <c r="T233">
        <v>23.58</v>
      </c>
    </row>
    <row r="234" spans="1:20" x14ac:dyDescent="0.3">
      <c r="A234" t="s">
        <v>284</v>
      </c>
      <c r="B234" s="2">
        <v>46242</v>
      </c>
      <c r="C234" t="s">
        <v>49</v>
      </c>
      <c r="D234" t="s">
        <v>39</v>
      </c>
      <c r="E234" t="s">
        <v>23</v>
      </c>
      <c r="F234" t="s">
        <v>45</v>
      </c>
      <c r="G234">
        <v>4</v>
      </c>
      <c r="H234">
        <v>33438</v>
      </c>
      <c r="I234">
        <v>21815</v>
      </c>
      <c r="J234">
        <v>133752</v>
      </c>
      <c r="K234">
        <v>87260</v>
      </c>
      <c r="L234">
        <v>14049</v>
      </c>
      <c r="M234">
        <v>0</v>
      </c>
      <c r="N234">
        <v>2000</v>
      </c>
      <c r="O234">
        <v>103309</v>
      </c>
      <c r="P234">
        <v>30443</v>
      </c>
      <c r="Q234">
        <v>2026</v>
      </c>
      <c r="R234">
        <v>8</v>
      </c>
      <c r="S234" t="s">
        <v>127</v>
      </c>
      <c r="T234">
        <v>22.76</v>
      </c>
    </row>
    <row r="235" spans="1:20" x14ac:dyDescent="0.3">
      <c r="A235" t="s">
        <v>285</v>
      </c>
      <c r="B235" s="2">
        <v>46242</v>
      </c>
      <c r="C235" t="s">
        <v>49</v>
      </c>
      <c r="D235" t="s">
        <v>56</v>
      </c>
      <c r="E235" t="s">
        <v>36</v>
      </c>
      <c r="F235" t="s">
        <v>30</v>
      </c>
      <c r="G235">
        <v>13</v>
      </c>
      <c r="H235">
        <v>133695</v>
      </c>
      <c r="I235">
        <v>104161</v>
      </c>
      <c r="J235">
        <v>1738035</v>
      </c>
      <c r="K235">
        <v>1354093</v>
      </c>
      <c r="L235">
        <v>27854</v>
      </c>
      <c r="M235">
        <v>15000</v>
      </c>
      <c r="N235">
        <v>3000</v>
      </c>
      <c r="O235">
        <v>1399947</v>
      </c>
      <c r="P235">
        <v>338088</v>
      </c>
      <c r="Q235">
        <v>2026</v>
      </c>
      <c r="R235">
        <v>8</v>
      </c>
      <c r="S235" t="s">
        <v>127</v>
      </c>
      <c r="T235">
        <v>19.45</v>
      </c>
    </row>
    <row r="236" spans="1:20" x14ac:dyDescent="0.3">
      <c r="A236" t="s">
        <v>286</v>
      </c>
      <c r="B236" s="2">
        <v>46244</v>
      </c>
      <c r="C236" t="s">
        <v>34</v>
      </c>
      <c r="D236" t="s">
        <v>35</v>
      </c>
      <c r="E236" t="s">
        <v>36</v>
      </c>
      <c r="F236" t="s">
        <v>24</v>
      </c>
      <c r="G236">
        <v>11</v>
      </c>
      <c r="H236">
        <v>478927</v>
      </c>
      <c r="I236">
        <v>380637</v>
      </c>
      <c r="J236">
        <v>5268197</v>
      </c>
      <c r="K236">
        <v>4187007</v>
      </c>
      <c r="L236">
        <v>33602</v>
      </c>
      <c r="M236">
        <v>0</v>
      </c>
      <c r="N236">
        <v>8000</v>
      </c>
      <c r="O236">
        <v>4228609</v>
      </c>
      <c r="P236">
        <v>1039588</v>
      </c>
      <c r="Q236">
        <v>2026</v>
      </c>
      <c r="R236">
        <v>8</v>
      </c>
      <c r="S236" t="s">
        <v>127</v>
      </c>
      <c r="T236">
        <v>19.73</v>
      </c>
    </row>
    <row r="237" spans="1:20" x14ac:dyDescent="0.3">
      <c r="A237" t="s">
        <v>287</v>
      </c>
      <c r="B237" s="2">
        <v>46245</v>
      </c>
      <c r="C237" t="s">
        <v>32</v>
      </c>
      <c r="D237" t="s">
        <v>22</v>
      </c>
      <c r="E237" t="s">
        <v>23</v>
      </c>
      <c r="F237" t="s">
        <v>40</v>
      </c>
      <c r="G237">
        <v>7</v>
      </c>
      <c r="H237">
        <v>25037</v>
      </c>
      <c r="I237">
        <v>13908</v>
      </c>
      <c r="J237">
        <v>175259</v>
      </c>
      <c r="K237">
        <v>97356</v>
      </c>
      <c r="L237">
        <v>20386</v>
      </c>
      <c r="M237">
        <v>5000</v>
      </c>
      <c r="N237">
        <v>5000</v>
      </c>
      <c r="O237">
        <v>127742</v>
      </c>
      <c r="P237">
        <v>47517</v>
      </c>
      <c r="Q237">
        <v>2026</v>
      </c>
      <c r="R237">
        <v>8</v>
      </c>
      <c r="S237" t="s">
        <v>127</v>
      </c>
      <c r="T237">
        <v>27.11</v>
      </c>
    </row>
    <row r="238" spans="1:20" x14ac:dyDescent="0.3">
      <c r="A238" t="s">
        <v>288</v>
      </c>
      <c r="B238" s="2">
        <v>46247</v>
      </c>
      <c r="C238" t="s">
        <v>49</v>
      </c>
      <c r="D238" t="s">
        <v>58</v>
      </c>
      <c r="E238" t="s">
        <v>29</v>
      </c>
      <c r="F238" t="s">
        <v>37</v>
      </c>
      <c r="G238">
        <v>8</v>
      </c>
      <c r="H238">
        <v>217516</v>
      </c>
      <c r="I238">
        <v>169091</v>
      </c>
      <c r="J238">
        <v>1740128</v>
      </c>
      <c r="K238">
        <v>1352728</v>
      </c>
      <c r="L238">
        <v>34415</v>
      </c>
      <c r="M238">
        <v>0</v>
      </c>
      <c r="N238">
        <v>2000</v>
      </c>
      <c r="O238">
        <v>1389143</v>
      </c>
      <c r="P238">
        <v>350985</v>
      </c>
      <c r="Q238">
        <v>2026</v>
      </c>
      <c r="R238">
        <v>8</v>
      </c>
      <c r="S238" t="s">
        <v>127</v>
      </c>
      <c r="T238">
        <v>20.170000000000002</v>
      </c>
    </row>
    <row r="239" spans="1:20" x14ac:dyDescent="0.3">
      <c r="A239" t="s">
        <v>289</v>
      </c>
      <c r="B239" s="2">
        <v>46251</v>
      </c>
      <c r="C239" t="s">
        <v>49</v>
      </c>
      <c r="D239" t="s">
        <v>22</v>
      </c>
      <c r="E239" t="s">
        <v>23</v>
      </c>
      <c r="F239" t="s">
        <v>42</v>
      </c>
      <c r="G239">
        <v>14</v>
      </c>
      <c r="H239">
        <v>21858</v>
      </c>
      <c r="I239">
        <v>14129</v>
      </c>
      <c r="J239">
        <v>306012</v>
      </c>
      <c r="K239">
        <v>197806</v>
      </c>
      <c r="L239">
        <v>20386</v>
      </c>
      <c r="M239">
        <v>10000</v>
      </c>
      <c r="N239">
        <v>10000</v>
      </c>
      <c r="O239">
        <v>238192</v>
      </c>
      <c r="P239">
        <v>67820</v>
      </c>
      <c r="Q239">
        <v>2026</v>
      </c>
      <c r="R239">
        <v>8</v>
      </c>
      <c r="S239" t="s">
        <v>127</v>
      </c>
      <c r="T239">
        <v>22.16</v>
      </c>
    </row>
    <row r="240" spans="1:20" x14ac:dyDescent="0.3">
      <c r="A240" t="s">
        <v>290</v>
      </c>
      <c r="B240" s="2">
        <v>46255</v>
      </c>
      <c r="C240" t="s">
        <v>32</v>
      </c>
      <c r="D240" t="s">
        <v>39</v>
      </c>
      <c r="E240" t="s">
        <v>23</v>
      </c>
      <c r="F240" t="s">
        <v>24</v>
      </c>
      <c r="G240">
        <v>6</v>
      </c>
      <c r="H240">
        <v>35231</v>
      </c>
      <c r="I240">
        <v>20422</v>
      </c>
      <c r="J240">
        <v>211386</v>
      </c>
      <c r="K240">
        <v>122532</v>
      </c>
      <c r="L240">
        <v>35585</v>
      </c>
      <c r="M240">
        <v>10000</v>
      </c>
      <c r="N240">
        <v>3000</v>
      </c>
      <c r="O240">
        <v>171117</v>
      </c>
      <c r="P240">
        <v>40269</v>
      </c>
      <c r="Q240">
        <v>2026</v>
      </c>
      <c r="R240">
        <v>8</v>
      </c>
      <c r="S240" t="s">
        <v>127</v>
      </c>
      <c r="T240">
        <v>19.05</v>
      </c>
    </row>
    <row r="241" spans="1:20" x14ac:dyDescent="0.3">
      <c r="A241" t="s">
        <v>291</v>
      </c>
      <c r="B241" s="2">
        <v>46257</v>
      </c>
      <c r="C241" t="s">
        <v>49</v>
      </c>
      <c r="D241" t="s">
        <v>56</v>
      </c>
      <c r="E241" t="s">
        <v>36</v>
      </c>
      <c r="F241" t="s">
        <v>24</v>
      </c>
      <c r="G241">
        <v>2</v>
      </c>
      <c r="H241">
        <v>137292</v>
      </c>
      <c r="I241">
        <v>104466</v>
      </c>
      <c r="J241">
        <v>274584</v>
      </c>
      <c r="K241">
        <v>208932</v>
      </c>
      <c r="L241">
        <v>19400</v>
      </c>
      <c r="M241">
        <v>0</v>
      </c>
      <c r="N241">
        <v>3000</v>
      </c>
      <c r="O241">
        <v>231332</v>
      </c>
      <c r="P241">
        <v>43252</v>
      </c>
      <c r="Q241">
        <v>2026</v>
      </c>
      <c r="R241">
        <v>8</v>
      </c>
      <c r="S241" t="s">
        <v>127</v>
      </c>
      <c r="T241">
        <v>15.75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workbookViewId="0"/>
  </sheetViews>
  <sheetFormatPr baseColWidth="10" defaultColWidth="8.88671875" defaultRowHeight="14.4" x14ac:dyDescent="0.3"/>
  <cols>
    <col min="1" max="1" width="19.77734375" customWidth="1"/>
    <col min="2" max="2" width="42.109375" customWidth="1"/>
  </cols>
  <sheetData>
    <row r="1" spans="1:2" x14ac:dyDescent="0.3">
      <c r="A1" s="1" t="s">
        <v>292</v>
      </c>
      <c r="B1" s="1" t="s">
        <v>293</v>
      </c>
    </row>
    <row r="2" spans="1:2" x14ac:dyDescent="0.3">
      <c r="A2" t="s">
        <v>0</v>
      </c>
      <c r="B2" t="s">
        <v>294</v>
      </c>
    </row>
    <row r="3" spans="1:2" x14ac:dyDescent="0.3">
      <c r="A3" t="s">
        <v>1</v>
      </c>
      <c r="B3" t="s">
        <v>295</v>
      </c>
    </row>
    <row r="4" spans="1:2" x14ac:dyDescent="0.3">
      <c r="A4" t="s">
        <v>2</v>
      </c>
      <c r="B4" t="s">
        <v>296</v>
      </c>
    </row>
    <row r="5" spans="1:2" x14ac:dyDescent="0.3">
      <c r="A5" t="s">
        <v>3</v>
      </c>
      <c r="B5" t="s">
        <v>297</v>
      </c>
    </row>
    <row r="6" spans="1:2" x14ac:dyDescent="0.3">
      <c r="A6" t="s">
        <v>4</v>
      </c>
      <c r="B6" t="s">
        <v>298</v>
      </c>
    </row>
    <row r="7" spans="1:2" x14ac:dyDescent="0.3">
      <c r="A7" t="s">
        <v>5</v>
      </c>
      <c r="B7" t="s">
        <v>299</v>
      </c>
    </row>
    <row r="8" spans="1:2" x14ac:dyDescent="0.3">
      <c r="A8" t="s">
        <v>6</v>
      </c>
      <c r="B8" t="s">
        <v>300</v>
      </c>
    </row>
    <row r="9" spans="1:2" x14ac:dyDescent="0.3">
      <c r="A9" t="s">
        <v>7</v>
      </c>
      <c r="B9" t="s">
        <v>301</v>
      </c>
    </row>
    <row r="10" spans="1:2" x14ac:dyDescent="0.3">
      <c r="A10" t="s">
        <v>8</v>
      </c>
      <c r="B10" t="s">
        <v>302</v>
      </c>
    </row>
    <row r="11" spans="1:2" x14ac:dyDescent="0.3">
      <c r="A11" t="s">
        <v>9</v>
      </c>
      <c r="B11" t="s">
        <v>303</v>
      </c>
    </row>
    <row r="12" spans="1:2" x14ac:dyDescent="0.3">
      <c r="A12" t="s">
        <v>10</v>
      </c>
      <c r="B12" t="s">
        <v>304</v>
      </c>
    </row>
    <row r="13" spans="1:2" x14ac:dyDescent="0.3">
      <c r="A13" t="s">
        <v>11</v>
      </c>
      <c r="B13" t="s">
        <v>305</v>
      </c>
    </row>
    <row r="14" spans="1:2" x14ac:dyDescent="0.3">
      <c r="A14" t="s">
        <v>12</v>
      </c>
      <c r="B14" t="s">
        <v>306</v>
      </c>
    </row>
    <row r="15" spans="1:2" x14ac:dyDescent="0.3">
      <c r="A15" t="s">
        <v>13</v>
      </c>
      <c r="B15" t="s">
        <v>307</v>
      </c>
    </row>
    <row r="16" spans="1:2" x14ac:dyDescent="0.3">
      <c r="A16" t="s">
        <v>14</v>
      </c>
      <c r="B16" t="s">
        <v>308</v>
      </c>
    </row>
    <row r="17" spans="1:2" x14ac:dyDescent="0.3">
      <c r="A17" t="s">
        <v>15</v>
      </c>
      <c r="B17" t="s">
        <v>309</v>
      </c>
    </row>
    <row r="18" spans="1:2" x14ac:dyDescent="0.3">
      <c r="A18" t="s">
        <v>16</v>
      </c>
      <c r="B18" t="s">
        <v>310</v>
      </c>
    </row>
    <row r="19" spans="1:2" x14ac:dyDescent="0.3">
      <c r="A19" t="s">
        <v>17</v>
      </c>
      <c r="B19" t="s">
        <v>311</v>
      </c>
    </row>
    <row r="20" spans="1:2" x14ac:dyDescent="0.3">
      <c r="A20" t="s">
        <v>18</v>
      </c>
      <c r="B20" t="s">
        <v>312</v>
      </c>
    </row>
    <row r="21" spans="1:2" x14ac:dyDescent="0.3">
      <c r="A21" t="s">
        <v>19</v>
      </c>
      <c r="B21" t="s">
        <v>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892EC-4DEB-4269-8213-61D64AE4413D}">
  <dimension ref="A3:D8"/>
  <sheetViews>
    <sheetView workbookViewId="0">
      <selection activeCell="A7" sqref="A7:A8"/>
    </sheetView>
  </sheetViews>
  <sheetFormatPr baseColWidth="10" defaultRowHeight="14.4" x14ac:dyDescent="0.3"/>
  <cols>
    <col min="1" max="1" width="25.6640625" bestFit="1" customWidth="1"/>
    <col min="2" max="2" width="16.21875" bestFit="1" customWidth="1"/>
    <col min="3" max="3" width="18.5546875" bestFit="1" customWidth="1"/>
    <col min="4" max="4" width="23.77734375" bestFit="1" customWidth="1"/>
    <col min="5" max="5" width="20.6640625" customWidth="1"/>
  </cols>
  <sheetData>
    <row r="3" spans="1:4" x14ac:dyDescent="0.3">
      <c r="A3" t="s">
        <v>314</v>
      </c>
      <c r="B3" t="s">
        <v>318</v>
      </c>
      <c r="C3" t="s">
        <v>319</v>
      </c>
      <c r="D3" s="9" t="s">
        <v>317</v>
      </c>
    </row>
    <row r="4" spans="1:4" x14ac:dyDescent="0.3">
      <c r="A4" s="8">
        <v>287159742</v>
      </c>
      <c r="B4" s="8">
        <v>75316159</v>
      </c>
      <c r="C4" s="8">
        <v>362475901</v>
      </c>
      <c r="D4" s="10">
        <f>SUM(GETPIVOTDATA("Bénéfice",$B$3)/GETPIVOTDATA("Chiffre_Affaires",$C$3))*100</f>
        <v>20.778252786521108</v>
      </c>
    </row>
    <row r="7" spans="1:4" x14ac:dyDescent="0.3">
      <c r="A7" t="s">
        <v>319</v>
      </c>
    </row>
    <row r="8" spans="1:4" x14ac:dyDescent="0.3">
      <c r="A8" s="8">
        <v>362475901</v>
      </c>
    </row>
  </sheetData>
  <pageMargins left="0.7" right="0.7" top="0.75" bottom="0.75" header="0.3" footer="0.3"/>
  <pageSetup paperSize="9" orientation="portrait"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65450-7280-4033-B9F7-9C469B01E098}">
  <dimension ref="A3:H9"/>
  <sheetViews>
    <sheetView workbookViewId="0">
      <selection activeCell="H5" sqref="H5"/>
    </sheetView>
  </sheetViews>
  <sheetFormatPr baseColWidth="10" defaultRowHeight="14.4" x14ac:dyDescent="0.3"/>
  <cols>
    <col min="1" max="1" width="11.88671875" bestFit="1" customWidth="1"/>
    <col min="2" max="2" width="25.6640625" bestFit="1" customWidth="1"/>
    <col min="3" max="3" width="19.44140625" bestFit="1" customWidth="1"/>
    <col min="4" max="4" width="17.77734375" bestFit="1" customWidth="1"/>
    <col min="5" max="5" width="25.33203125" bestFit="1" customWidth="1"/>
    <col min="7" max="7" width="11.88671875" bestFit="1" customWidth="1"/>
    <col min="8" max="9" width="19.44140625" bestFit="1" customWidth="1"/>
    <col min="10" max="10" width="17.77734375" bestFit="1" customWidth="1"/>
  </cols>
  <sheetData>
    <row r="3" spans="1:8" x14ac:dyDescent="0.3">
      <c r="A3" s="6" t="s">
        <v>322</v>
      </c>
      <c r="B3" t="s">
        <v>314</v>
      </c>
      <c r="C3" t="s">
        <v>323</v>
      </c>
      <c r="D3" t="s">
        <v>315</v>
      </c>
      <c r="E3" t="s">
        <v>324</v>
      </c>
      <c r="G3" s="6" t="s">
        <v>322</v>
      </c>
      <c r="H3" t="s">
        <v>323</v>
      </c>
    </row>
    <row r="4" spans="1:8" x14ac:dyDescent="0.3">
      <c r="A4" s="11" t="s">
        <v>27</v>
      </c>
      <c r="B4" s="4">
        <v>54238186</v>
      </c>
      <c r="C4" s="7">
        <v>74135565</v>
      </c>
      <c r="D4" s="4">
        <v>19897379</v>
      </c>
      <c r="E4" s="12">
        <v>0.26839181707187365</v>
      </c>
      <c r="G4" s="11" t="s">
        <v>27</v>
      </c>
      <c r="H4" s="7">
        <v>74135565</v>
      </c>
    </row>
    <row r="5" spans="1:8" x14ac:dyDescent="0.3">
      <c r="A5" s="11" t="s">
        <v>49</v>
      </c>
      <c r="B5" s="4">
        <v>61891850</v>
      </c>
      <c r="C5" s="7">
        <v>76084475</v>
      </c>
      <c r="D5" s="4">
        <v>14192625</v>
      </c>
      <c r="E5" s="12">
        <v>0.18653772665185636</v>
      </c>
      <c r="G5" s="11" t="s">
        <v>49</v>
      </c>
      <c r="H5" s="7">
        <v>76084475</v>
      </c>
    </row>
    <row r="6" spans="1:8" x14ac:dyDescent="0.3">
      <c r="A6" s="11" t="s">
        <v>34</v>
      </c>
      <c r="B6" s="4">
        <v>74734153</v>
      </c>
      <c r="C6" s="7">
        <v>91703404</v>
      </c>
      <c r="D6" s="4">
        <v>16969251</v>
      </c>
      <c r="E6" s="12">
        <v>0.18504494118887888</v>
      </c>
      <c r="G6" s="11" t="s">
        <v>34</v>
      </c>
      <c r="H6" s="7">
        <v>91703404</v>
      </c>
    </row>
    <row r="7" spans="1:8" x14ac:dyDescent="0.3">
      <c r="A7" s="11" t="s">
        <v>21</v>
      </c>
      <c r="B7" s="4">
        <v>49866883</v>
      </c>
      <c r="C7" s="7">
        <v>62935712</v>
      </c>
      <c r="D7" s="4">
        <v>13068829</v>
      </c>
      <c r="E7" s="12">
        <v>0.207653629150966</v>
      </c>
      <c r="G7" s="11" t="s">
        <v>21</v>
      </c>
      <c r="H7" s="7">
        <v>62935712</v>
      </c>
    </row>
    <row r="8" spans="1:8" x14ac:dyDescent="0.3">
      <c r="A8" s="11" t="s">
        <v>32</v>
      </c>
      <c r="B8" s="4">
        <v>46428670</v>
      </c>
      <c r="C8" s="7">
        <v>57616745</v>
      </c>
      <c r="D8" s="4">
        <v>11188075</v>
      </c>
      <c r="E8" s="12">
        <v>0.19418096249623265</v>
      </c>
      <c r="G8" s="11" t="s">
        <v>32</v>
      </c>
      <c r="H8" s="7">
        <v>57616745</v>
      </c>
    </row>
    <row r="9" spans="1:8" x14ac:dyDescent="0.3">
      <c r="A9" s="11" t="s">
        <v>321</v>
      </c>
      <c r="B9" s="4">
        <v>287159742</v>
      </c>
      <c r="C9" s="7">
        <v>362475901</v>
      </c>
      <c r="D9" s="4">
        <v>75316159</v>
      </c>
      <c r="E9" s="12">
        <v>0.20778252786521109</v>
      </c>
      <c r="G9" s="11" t="s">
        <v>321</v>
      </c>
      <c r="H9" s="7">
        <v>362475901</v>
      </c>
    </row>
  </sheetData>
  <sortState xmlns:xlrd2="http://schemas.microsoft.com/office/spreadsheetml/2017/richdata2" columnSort="1" ref="A3:D9">
    <sortCondition descending="1" ref="C3"/>
  </sortState>
  <pageMargins left="0.7" right="0.7" top="0.75" bottom="0.75" header="0.3" footer="0.3"/>
  <pageSetup paperSize="9"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E970B-CD59-4CE4-987E-5F1494088677}">
  <dimension ref="A3:H10"/>
  <sheetViews>
    <sheetView workbookViewId="0">
      <selection activeCell="G14" sqref="G14"/>
    </sheetView>
  </sheetViews>
  <sheetFormatPr baseColWidth="10" defaultRowHeight="14.4" x14ac:dyDescent="0.3"/>
  <cols>
    <col min="1" max="1" width="17.21875" bestFit="1" customWidth="1"/>
    <col min="2" max="2" width="19.44140625" bestFit="1" customWidth="1"/>
    <col min="3" max="3" width="25.6640625" bestFit="1" customWidth="1"/>
    <col min="4" max="4" width="17.77734375" bestFit="1" customWidth="1"/>
    <col min="5" max="5" width="26" bestFit="1" customWidth="1"/>
    <col min="7" max="7" width="17.21875" bestFit="1" customWidth="1"/>
    <col min="8" max="8" width="22.21875" customWidth="1"/>
    <col min="9" max="10" width="26" bestFit="1" customWidth="1"/>
  </cols>
  <sheetData>
    <row r="3" spans="1:8" x14ac:dyDescent="0.3">
      <c r="A3" s="6" t="s">
        <v>3</v>
      </c>
      <c r="B3" t="s">
        <v>323</v>
      </c>
      <c r="C3" t="s">
        <v>314</v>
      </c>
      <c r="D3" t="s">
        <v>315</v>
      </c>
      <c r="E3" t="s">
        <v>325</v>
      </c>
      <c r="G3" s="6" t="s">
        <v>3</v>
      </c>
      <c r="H3" t="s">
        <v>315</v>
      </c>
    </row>
    <row r="4" spans="1:8" x14ac:dyDescent="0.3">
      <c r="A4" s="11" t="s">
        <v>39</v>
      </c>
      <c r="B4" s="4">
        <v>11452426</v>
      </c>
      <c r="C4" s="4">
        <v>9189515</v>
      </c>
      <c r="D4" s="4">
        <v>2262911</v>
      </c>
      <c r="E4" s="12">
        <v>0.19759228306736057</v>
      </c>
      <c r="G4" s="11" t="s">
        <v>39</v>
      </c>
      <c r="H4" s="4">
        <v>2262911</v>
      </c>
    </row>
    <row r="5" spans="1:8" x14ac:dyDescent="0.3">
      <c r="A5" s="11" t="s">
        <v>56</v>
      </c>
      <c r="B5" s="4">
        <v>42905873</v>
      </c>
      <c r="C5" s="4">
        <v>32278337</v>
      </c>
      <c r="D5" s="4">
        <v>10627536</v>
      </c>
      <c r="E5" s="12">
        <v>0.24769420260951222</v>
      </c>
      <c r="G5" s="11" t="s">
        <v>56</v>
      </c>
      <c r="H5" s="4">
        <v>10627536</v>
      </c>
    </row>
    <row r="6" spans="1:8" x14ac:dyDescent="0.3">
      <c r="A6" s="11" t="s">
        <v>35</v>
      </c>
      <c r="B6" s="4">
        <v>166891225</v>
      </c>
      <c r="C6" s="4">
        <v>135798939</v>
      </c>
      <c r="D6" s="4">
        <v>31092286</v>
      </c>
      <c r="E6" s="12">
        <v>0.18630270105573257</v>
      </c>
      <c r="G6" s="11" t="s">
        <v>35</v>
      </c>
      <c r="H6" s="4">
        <v>31092286</v>
      </c>
    </row>
    <row r="7" spans="1:8" x14ac:dyDescent="0.3">
      <c r="A7" s="11" t="s">
        <v>22</v>
      </c>
      <c r="B7" s="4">
        <v>5013884</v>
      </c>
      <c r="C7" s="4">
        <v>3926437</v>
      </c>
      <c r="D7" s="4">
        <v>1087447</v>
      </c>
      <c r="E7" s="12">
        <v>0.2168871477680776</v>
      </c>
      <c r="G7" s="11" t="s">
        <v>22</v>
      </c>
      <c r="H7" s="4">
        <v>1087447</v>
      </c>
    </row>
    <row r="8" spans="1:8" x14ac:dyDescent="0.3">
      <c r="A8" s="11" t="s">
        <v>58</v>
      </c>
      <c r="B8" s="4">
        <v>59333477</v>
      </c>
      <c r="C8" s="4">
        <v>46417247</v>
      </c>
      <c r="D8" s="4">
        <v>12916230</v>
      </c>
      <c r="E8" s="12">
        <v>0.21768874256265144</v>
      </c>
      <c r="G8" s="11" t="s">
        <v>58</v>
      </c>
      <c r="H8" s="4">
        <v>12916230</v>
      </c>
    </row>
    <row r="9" spans="1:8" x14ac:dyDescent="0.3">
      <c r="A9" s="11" t="s">
        <v>28</v>
      </c>
      <c r="B9" s="4">
        <v>76879016</v>
      </c>
      <c r="C9" s="4">
        <v>59549267</v>
      </c>
      <c r="D9" s="4">
        <v>17329749</v>
      </c>
      <c r="E9" s="12">
        <v>0.22541585339749926</v>
      </c>
      <c r="G9" s="11" t="s">
        <v>28</v>
      </c>
      <c r="H9" s="4">
        <v>17329749</v>
      </c>
    </row>
    <row r="10" spans="1:8" x14ac:dyDescent="0.3">
      <c r="A10" s="11" t="s">
        <v>321</v>
      </c>
      <c r="B10" s="4">
        <v>362475901</v>
      </c>
      <c r="C10" s="4">
        <v>287159742</v>
      </c>
      <c r="D10" s="4">
        <v>75316159</v>
      </c>
      <c r="E10" s="12">
        <v>0.20778252786521109</v>
      </c>
      <c r="G10" s="11" t="s">
        <v>321</v>
      </c>
      <c r="H10" s="4">
        <v>75316159</v>
      </c>
    </row>
  </sheetData>
  <pageMargins left="0.7" right="0.7" top="0.75" bottom="0.75" header="0.3" footer="0.3"/>
  <pageSetup paperSize="9" orientation="portrait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FB3AB-CAA6-46AF-99E6-5FB0D28B7B27}">
  <dimension ref="A3:D23"/>
  <sheetViews>
    <sheetView workbookViewId="0">
      <selection activeCell="A10" sqref="A10:D23"/>
    </sheetView>
  </sheetViews>
  <sheetFormatPr baseColWidth="10" defaultRowHeight="14.4" x14ac:dyDescent="0.3"/>
  <cols>
    <col min="1" max="1" width="11.88671875" bestFit="1" customWidth="1"/>
    <col min="2" max="2" width="23.77734375" bestFit="1" customWidth="1"/>
    <col min="3" max="3" width="25.6640625" bestFit="1" customWidth="1"/>
    <col min="4" max="4" width="17.77734375" bestFit="1" customWidth="1"/>
  </cols>
  <sheetData>
    <row r="3" spans="1:4" x14ac:dyDescent="0.3">
      <c r="A3" s="6" t="s">
        <v>16</v>
      </c>
      <c r="B3" t="s">
        <v>316</v>
      </c>
      <c r="C3" t="s">
        <v>314</v>
      </c>
      <c r="D3" t="s">
        <v>315</v>
      </c>
    </row>
    <row r="4" spans="1:4" x14ac:dyDescent="0.3">
      <c r="A4" s="11">
        <v>2025</v>
      </c>
      <c r="B4" s="7">
        <v>232350019</v>
      </c>
      <c r="C4" s="7">
        <v>184355005</v>
      </c>
      <c r="D4" s="7">
        <v>47995014</v>
      </c>
    </row>
    <row r="5" spans="1:4" x14ac:dyDescent="0.3">
      <c r="A5" s="11">
        <v>2026</v>
      </c>
      <c r="B5" s="7">
        <v>130125882</v>
      </c>
      <c r="C5" s="7">
        <v>102804737</v>
      </c>
      <c r="D5" s="7">
        <v>27321145</v>
      </c>
    </row>
    <row r="6" spans="1:4" x14ac:dyDescent="0.3">
      <c r="A6" s="11" t="s">
        <v>321</v>
      </c>
      <c r="B6" s="7">
        <v>362475901</v>
      </c>
      <c r="C6" s="7">
        <v>287159742</v>
      </c>
      <c r="D6" s="7">
        <v>75316159</v>
      </c>
    </row>
    <row r="10" spans="1:4" x14ac:dyDescent="0.3">
      <c r="A10" s="6" t="s">
        <v>17</v>
      </c>
      <c r="B10" t="s">
        <v>316</v>
      </c>
      <c r="C10" t="s">
        <v>314</v>
      </c>
      <c r="D10" t="s">
        <v>315</v>
      </c>
    </row>
    <row r="11" spans="1:4" x14ac:dyDescent="0.3">
      <c r="A11" s="11" t="s">
        <v>326</v>
      </c>
      <c r="B11" s="7">
        <v>16154080</v>
      </c>
      <c r="C11" s="7">
        <v>12431105</v>
      </c>
      <c r="D11" s="7">
        <v>3722975</v>
      </c>
    </row>
    <row r="12" spans="1:4" x14ac:dyDescent="0.3">
      <c r="A12" s="11" t="s">
        <v>327</v>
      </c>
      <c r="B12" s="7">
        <v>47700356</v>
      </c>
      <c r="C12" s="7">
        <v>38008715</v>
      </c>
      <c r="D12" s="7">
        <v>9691641</v>
      </c>
    </row>
    <row r="13" spans="1:4" x14ac:dyDescent="0.3">
      <c r="A13" s="11" t="s">
        <v>328</v>
      </c>
      <c r="B13" s="7">
        <v>33266443</v>
      </c>
      <c r="C13" s="7">
        <v>26187870</v>
      </c>
      <c r="D13" s="7">
        <v>7078573</v>
      </c>
    </row>
    <row r="14" spans="1:4" x14ac:dyDescent="0.3">
      <c r="A14" s="11" t="s">
        <v>329</v>
      </c>
      <c r="B14" s="7">
        <v>20383719</v>
      </c>
      <c r="C14" s="7">
        <v>16615103</v>
      </c>
      <c r="D14" s="7">
        <v>3768616</v>
      </c>
    </row>
    <row r="15" spans="1:4" x14ac:dyDescent="0.3">
      <c r="A15" s="11" t="s">
        <v>330</v>
      </c>
      <c r="B15" s="7">
        <v>33063056</v>
      </c>
      <c r="C15" s="7">
        <v>26169337</v>
      </c>
      <c r="D15" s="7">
        <v>6893719</v>
      </c>
    </row>
    <row r="16" spans="1:4" x14ac:dyDescent="0.3">
      <c r="A16" s="11" t="s">
        <v>331</v>
      </c>
      <c r="B16" s="7">
        <v>41541222</v>
      </c>
      <c r="C16" s="7">
        <v>32817500</v>
      </c>
      <c r="D16" s="7">
        <v>8723722</v>
      </c>
    </row>
    <row r="17" spans="1:4" x14ac:dyDescent="0.3">
      <c r="A17" s="11" t="s">
        <v>332</v>
      </c>
      <c r="B17" s="7">
        <v>57422696</v>
      </c>
      <c r="C17" s="7">
        <v>45852777</v>
      </c>
      <c r="D17" s="7">
        <v>11569919</v>
      </c>
    </row>
    <row r="18" spans="1:4" x14ac:dyDescent="0.3">
      <c r="A18" s="11" t="s">
        <v>333</v>
      </c>
      <c r="B18" s="7">
        <v>40100319</v>
      </c>
      <c r="C18" s="7">
        <v>31643200</v>
      </c>
      <c r="D18" s="7">
        <v>8457119</v>
      </c>
    </row>
    <row r="19" spans="1:4" x14ac:dyDescent="0.3">
      <c r="A19" s="11" t="s">
        <v>334</v>
      </c>
      <c r="B19" s="7">
        <v>27615256</v>
      </c>
      <c r="C19" s="7">
        <v>22686767</v>
      </c>
      <c r="D19" s="7">
        <v>4928489</v>
      </c>
    </row>
    <row r="20" spans="1:4" x14ac:dyDescent="0.3">
      <c r="A20" s="11" t="s">
        <v>335</v>
      </c>
      <c r="B20" s="7">
        <v>15408646</v>
      </c>
      <c r="C20" s="7">
        <v>11606701</v>
      </c>
      <c r="D20" s="7">
        <v>3801945</v>
      </c>
    </row>
    <row r="21" spans="1:4" x14ac:dyDescent="0.3">
      <c r="A21" s="11" t="s">
        <v>336</v>
      </c>
      <c r="B21" s="7">
        <v>21541312</v>
      </c>
      <c r="C21" s="7">
        <v>16832648</v>
      </c>
      <c r="D21" s="7">
        <v>4708664</v>
      </c>
    </row>
    <row r="22" spans="1:4" x14ac:dyDescent="0.3">
      <c r="A22" s="11" t="s">
        <v>337</v>
      </c>
      <c r="B22" s="7">
        <v>8278796</v>
      </c>
      <c r="C22" s="7">
        <v>6308019</v>
      </c>
      <c r="D22" s="7">
        <v>1970777</v>
      </c>
    </row>
    <row r="23" spans="1:4" x14ac:dyDescent="0.3">
      <c r="A23" s="11" t="s">
        <v>321</v>
      </c>
      <c r="B23" s="7">
        <v>362475901</v>
      </c>
      <c r="C23" s="7">
        <v>287159742</v>
      </c>
      <c r="D23" s="7">
        <v>75316159</v>
      </c>
    </row>
  </sheetData>
  <pageMargins left="0.7" right="0.7" top="0.75" bottom="0.75" header="0.3" footer="0.3"/>
  <pageSetup paperSize="9" orientation="portrait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94F2C-8DC0-45BE-AFB8-4197DDBA92E6}">
  <dimension ref="A3:E10"/>
  <sheetViews>
    <sheetView workbookViewId="0">
      <selection activeCell="B3" sqref="B3"/>
    </sheetView>
  </sheetViews>
  <sheetFormatPr baseColWidth="10" defaultRowHeight="14.4" x14ac:dyDescent="0.3"/>
  <cols>
    <col min="1" max="1" width="13.21875" bestFit="1" customWidth="1"/>
    <col min="2" max="2" width="19.33203125" bestFit="1" customWidth="1"/>
    <col min="3" max="3" width="25.6640625" bestFit="1" customWidth="1"/>
    <col min="4" max="4" width="17.77734375" bestFit="1" customWidth="1"/>
    <col min="5" max="5" width="17.21875" bestFit="1" customWidth="1"/>
  </cols>
  <sheetData>
    <row r="3" spans="1:5" x14ac:dyDescent="0.3">
      <c r="A3" s="6" t="s">
        <v>5</v>
      </c>
      <c r="B3" t="s">
        <v>341</v>
      </c>
      <c r="C3" t="s">
        <v>314</v>
      </c>
      <c r="D3" t="s">
        <v>315</v>
      </c>
      <c r="E3" t="s">
        <v>340</v>
      </c>
    </row>
    <row r="4" spans="1:5" x14ac:dyDescent="0.3">
      <c r="A4" s="11" t="s">
        <v>40</v>
      </c>
      <c r="B4" s="4">
        <v>38094855</v>
      </c>
      <c r="C4" s="4">
        <v>30112310</v>
      </c>
      <c r="D4" s="4">
        <v>7982545</v>
      </c>
      <c r="E4" s="4">
        <v>20.954391347597991</v>
      </c>
    </row>
    <row r="5" spans="1:5" x14ac:dyDescent="0.3">
      <c r="A5" s="11" t="s">
        <v>37</v>
      </c>
      <c r="B5" s="4">
        <v>41267728</v>
      </c>
      <c r="C5" s="4">
        <v>32531448</v>
      </c>
      <c r="D5" s="4">
        <v>8736280</v>
      </c>
      <c r="E5" s="4">
        <v>21.169762483653088</v>
      </c>
    </row>
    <row r="6" spans="1:5" x14ac:dyDescent="0.3">
      <c r="A6" s="11" t="s">
        <v>24</v>
      </c>
      <c r="B6" s="4">
        <v>55042946</v>
      </c>
      <c r="C6" s="4">
        <v>42860328</v>
      </c>
      <c r="D6" s="4">
        <v>12182618</v>
      </c>
      <c r="E6" s="4">
        <v>22.132932347044072</v>
      </c>
    </row>
    <row r="7" spans="1:5" x14ac:dyDescent="0.3">
      <c r="A7" s="11" t="s">
        <v>42</v>
      </c>
      <c r="B7" s="4">
        <v>96400287</v>
      </c>
      <c r="C7" s="4">
        <v>76249457</v>
      </c>
      <c r="D7" s="4">
        <v>20150830</v>
      </c>
      <c r="E7" s="4">
        <v>20.90328838958747</v>
      </c>
    </row>
    <row r="8" spans="1:5" x14ac:dyDescent="0.3">
      <c r="A8" s="11" t="s">
        <v>45</v>
      </c>
      <c r="B8" s="4">
        <v>82695543</v>
      </c>
      <c r="C8" s="4">
        <v>66690676</v>
      </c>
      <c r="D8" s="4">
        <v>16004867</v>
      </c>
      <c r="E8" s="4">
        <v>19.35396566656561</v>
      </c>
    </row>
    <row r="9" spans="1:5" x14ac:dyDescent="0.3">
      <c r="A9" s="11" t="s">
        <v>30</v>
      </c>
      <c r="B9" s="4">
        <v>48974542</v>
      </c>
      <c r="C9" s="4">
        <v>38715523</v>
      </c>
      <c r="D9" s="4">
        <v>10259019</v>
      </c>
      <c r="E9" s="4">
        <v>20.947656845877191</v>
      </c>
    </row>
    <row r="10" spans="1:5" x14ac:dyDescent="0.3">
      <c r="A10" s="11" t="s">
        <v>321</v>
      </c>
      <c r="B10" s="4">
        <v>362475901</v>
      </c>
      <c r="C10" s="4">
        <v>287159742</v>
      </c>
      <c r="D10" s="4">
        <v>75316159</v>
      </c>
      <c r="E10" s="4">
        <v>20.778252786521108</v>
      </c>
    </row>
  </sheetData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24EF4-3050-4AF3-9E68-DC6A38D8CB12}">
  <dimension ref="A3:E7"/>
  <sheetViews>
    <sheetView workbookViewId="0">
      <selection activeCell="D3" sqref="D3:D7"/>
      <pivotSelection pane="bottomRight" showHeader="1" extendable="1" axis="axisCol" start="2" max="4" activeRow="2" activeCol="3" previousRow="2" previousCol="3" click="1" r:id="rId1">
        <pivotArea dataOnly="0" outline="0" fieldPosition="0">
          <references count="1">
            <reference field="4294967294" count="1">
              <x v="2"/>
            </reference>
          </references>
        </pivotArea>
      </pivotSelection>
    </sheetView>
  </sheetViews>
  <sheetFormatPr baseColWidth="10" defaultRowHeight="14.4" x14ac:dyDescent="0.3"/>
  <cols>
    <col min="1" max="1" width="19.5546875" bestFit="1" customWidth="1"/>
    <col min="2" max="2" width="18.88671875" bestFit="1" customWidth="1"/>
    <col min="3" max="3" width="28.109375" customWidth="1"/>
    <col min="4" max="4" width="20.21875" customWidth="1"/>
    <col min="5" max="5" width="17.88671875" bestFit="1" customWidth="1"/>
  </cols>
  <sheetData>
    <row r="3" spans="1:5" x14ac:dyDescent="0.3">
      <c r="A3" s="6" t="s">
        <v>320</v>
      </c>
      <c r="B3" t="s">
        <v>339</v>
      </c>
      <c r="C3" t="s">
        <v>314</v>
      </c>
      <c r="D3" t="s">
        <v>315</v>
      </c>
      <c r="E3" t="s">
        <v>338</v>
      </c>
    </row>
    <row r="4" spans="1:5" x14ac:dyDescent="0.3">
      <c r="A4" s="11" t="s">
        <v>23</v>
      </c>
      <c r="B4" s="4">
        <v>16466310</v>
      </c>
      <c r="C4" s="4">
        <v>13115952</v>
      </c>
      <c r="D4" s="4">
        <v>3350358</v>
      </c>
      <c r="E4" s="4">
        <v>20.346744352559863</v>
      </c>
    </row>
    <row r="5" spans="1:5" x14ac:dyDescent="0.3">
      <c r="A5" s="11" t="s">
        <v>36</v>
      </c>
      <c r="B5" s="4">
        <v>209797098</v>
      </c>
      <c r="C5" s="4">
        <v>168077276</v>
      </c>
      <c r="D5" s="4">
        <v>41719822</v>
      </c>
      <c r="E5" s="4">
        <v>19.885795560432395</v>
      </c>
    </row>
    <row r="6" spans="1:5" x14ac:dyDescent="0.3">
      <c r="A6" s="11" t="s">
        <v>29</v>
      </c>
      <c r="B6" s="4">
        <v>136212493</v>
      </c>
      <c r="C6" s="4">
        <v>105966514</v>
      </c>
      <c r="D6" s="4">
        <v>30245979</v>
      </c>
      <c r="E6" s="4">
        <v>22.204996277397257</v>
      </c>
    </row>
    <row r="7" spans="1:5" x14ac:dyDescent="0.3">
      <c r="A7" s="11" t="s">
        <v>321</v>
      </c>
      <c r="B7" s="4">
        <v>362475901</v>
      </c>
      <c r="C7" s="4">
        <v>287159742</v>
      </c>
      <c r="D7" s="4">
        <v>75316159</v>
      </c>
      <c r="E7" s="4">
        <v>20.778252786521108</v>
      </c>
    </row>
  </sheetData>
  <pageMargins left="0.7" right="0.7" top="0.75" bottom="0.75" header="0.3" footer="0.3"/>
  <pageSetup paperSize="9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88A91-C106-440B-9FB8-41176A393881}">
  <dimension ref="A1:T241"/>
  <sheetViews>
    <sheetView topLeftCell="A2" workbookViewId="0">
      <selection sqref="A1:T241"/>
    </sheetView>
  </sheetViews>
  <sheetFormatPr baseColWidth="10" defaultRowHeight="14.4" x14ac:dyDescent="0.3"/>
  <cols>
    <col min="1" max="1" width="15.77734375" bestFit="1" customWidth="1"/>
    <col min="2" max="2" width="10.5546875" bestFit="1" customWidth="1"/>
    <col min="3" max="3" width="9.88671875" bestFit="1" customWidth="1"/>
    <col min="4" max="4" width="17.21875" bestFit="1" customWidth="1"/>
    <col min="5" max="5" width="11.6640625" bestFit="1" customWidth="1"/>
    <col min="6" max="6" width="13.21875" bestFit="1" customWidth="1"/>
    <col min="7" max="7" width="10.5546875" bestFit="1" customWidth="1"/>
    <col min="8" max="8" width="14" bestFit="1" customWidth="1"/>
    <col min="9" max="9" width="14.88671875" bestFit="1" customWidth="1"/>
    <col min="10" max="10" width="16.33203125" bestFit="1" customWidth="1"/>
    <col min="11" max="11" width="12.44140625" bestFit="1" customWidth="1"/>
    <col min="12" max="12" width="16.109375" bestFit="1" customWidth="1"/>
    <col min="13" max="13" width="16.6640625" bestFit="1" customWidth="1"/>
    <col min="14" max="14" width="17.6640625" bestFit="1" customWidth="1"/>
    <col min="15" max="15" width="18.33203125" bestFit="1" customWidth="1"/>
    <col min="16" max="16" width="10.44140625" bestFit="1" customWidth="1"/>
    <col min="17" max="17" width="8.6640625" bestFit="1" customWidth="1"/>
    <col min="18" max="18" width="7.33203125" bestFit="1" customWidth="1"/>
    <col min="19" max="19" width="12.44140625" bestFit="1" customWidth="1"/>
    <col min="20" max="20" width="11.109375" bestFit="1" customWidth="1"/>
  </cols>
  <sheetData>
    <row r="1" spans="1:2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</row>
    <row r="2" spans="1:20" x14ac:dyDescent="0.3">
      <c r="A2" s="4" t="s">
        <v>20</v>
      </c>
      <c r="B2" s="5">
        <v>45673</v>
      </c>
      <c r="C2" s="4" t="s">
        <v>21</v>
      </c>
      <c r="D2" s="4" t="s">
        <v>22</v>
      </c>
      <c r="E2" s="4" t="s">
        <v>23</v>
      </c>
      <c r="F2" s="4" t="s">
        <v>24</v>
      </c>
      <c r="G2" s="4">
        <v>7</v>
      </c>
      <c r="H2" s="4">
        <v>25486</v>
      </c>
      <c r="I2" s="4">
        <v>14794</v>
      </c>
      <c r="J2" s="4">
        <v>178402</v>
      </c>
      <c r="K2" s="4">
        <v>103558</v>
      </c>
      <c r="L2" s="4">
        <v>9314</v>
      </c>
      <c r="M2" s="4">
        <v>15000</v>
      </c>
      <c r="N2" s="4">
        <v>5000</v>
      </c>
      <c r="O2" s="4">
        <v>132872</v>
      </c>
      <c r="P2" s="4">
        <v>45530</v>
      </c>
      <c r="Q2" s="4">
        <v>2025</v>
      </c>
      <c r="R2" s="4">
        <v>1</v>
      </c>
      <c r="S2" s="4" t="s">
        <v>326</v>
      </c>
      <c r="T2" s="4">
        <v>25.52</v>
      </c>
    </row>
    <row r="3" spans="1:20" x14ac:dyDescent="0.3">
      <c r="A3" s="4" t="s">
        <v>26</v>
      </c>
      <c r="B3" s="5">
        <v>45674</v>
      </c>
      <c r="C3" s="4" t="s">
        <v>27</v>
      </c>
      <c r="D3" s="4" t="s">
        <v>28</v>
      </c>
      <c r="E3" s="4" t="s">
        <v>29</v>
      </c>
      <c r="F3" s="4" t="s">
        <v>30</v>
      </c>
      <c r="G3" s="4">
        <v>6</v>
      </c>
      <c r="H3" s="4">
        <v>175276</v>
      </c>
      <c r="I3" s="4">
        <v>132897</v>
      </c>
      <c r="J3" s="4">
        <v>1051656</v>
      </c>
      <c r="K3" s="4">
        <v>797382</v>
      </c>
      <c r="L3" s="4">
        <v>8396</v>
      </c>
      <c r="M3" s="4">
        <v>20000</v>
      </c>
      <c r="N3" s="4">
        <v>5000</v>
      </c>
      <c r="O3" s="4">
        <v>830778</v>
      </c>
      <c r="P3" s="4">
        <v>220878</v>
      </c>
      <c r="Q3" s="4">
        <v>2025</v>
      </c>
      <c r="R3" s="4">
        <v>1</v>
      </c>
      <c r="S3" s="4" t="s">
        <v>326</v>
      </c>
      <c r="T3" s="4">
        <v>21</v>
      </c>
    </row>
    <row r="4" spans="1:20" x14ac:dyDescent="0.3">
      <c r="A4" s="4" t="s">
        <v>31</v>
      </c>
      <c r="B4" s="5">
        <v>45674</v>
      </c>
      <c r="C4" s="4" t="s">
        <v>32</v>
      </c>
      <c r="D4" s="4" t="s">
        <v>22</v>
      </c>
      <c r="E4" s="4" t="s">
        <v>23</v>
      </c>
      <c r="F4" s="4" t="s">
        <v>24</v>
      </c>
      <c r="G4" s="4">
        <v>10</v>
      </c>
      <c r="H4" s="4">
        <v>22886</v>
      </c>
      <c r="I4" s="4">
        <v>13521</v>
      </c>
      <c r="J4" s="4">
        <v>228860</v>
      </c>
      <c r="K4" s="4">
        <v>135210</v>
      </c>
      <c r="L4" s="4">
        <v>23831</v>
      </c>
      <c r="M4" s="4">
        <v>0</v>
      </c>
      <c r="N4" s="4">
        <v>10000</v>
      </c>
      <c r="O4" s="4">
        <v>169041</v>
      </c>
      <c r="P4" s="4">
        <v>59819</v>
      </c>
      <c r="Q4" s="4">
        <v>2025</v>
      </c>
      <c r="R4" s="4">
        <v>1</v>
      </c>
      <c r="S4" s="4" t="s">
        <v>326</v>
      </c>
      <c r="T4" s="4">
        <v>26.14</v>
      </c>
    </row>
    <row r="5" spans="1:20" x14ac:dyDescent="0.3">
      <c r="A5" s="4" t="s">
        <v>33</v>
      </c>
      <c r="B5" s="5">
        <v>45675</v>
      </c>
      <c r="C5" s="4" t="s">
        <v>34</v>
      </c>
      <c r="D5" s="4" t="s">
        <v>35</v>
      </c>
      <c r="E5" s="4" t="s">
        <v>36</v>
      </c>
      <c r="F5" s="4" t="s">
        <v>37</v>
      </c>
      <c r="G5" s="4">
        <v>4</v>
      </c>
      <c r="H5" s="4">
        <v>481964</v>
      </c>
      <c r="I5" s="4">
        <v>380938</v>
      </c>
      <c r="J5" s="4">
        <v>1927856</v>
      </c>
      <c r="K5" s="4">
        <v>1523752</v>
      </c>
      <c r="L5" s="4">
        <v>33445</v>
      </c>
      <c r="M5" s="4">
        <v>20000</v>
      </c>
      <c r="N5" s="4">
        <v>5000</v>
      </c>
      <c r="O5" s="4">
        <v>1582197</v>
      </c>
      <c r="P5" s="4">
        <v>345659</v>
      </c>
      <c r="Q5" s="4">
        <v>2025</v>
      </c>
      <c r="R5" s="4">
        <v>1</v>
      </c>
      <c r="S5" s="4" t="s">
        <v>326</v>
      </c>
      <c r="T5" s="4">
        <v>17.93</v>
      </c>
    </row>
    <row r="6" spans="1:20" x14ac:dyDescent="0.3">
      <c r="A6" s="4" t="s">
        <v>38</v>
      </c>
      <c r="B6" s="5">
        <v>45679</v>
      </c>
      <c r="C6" s="4" t="s">
        <v>32</v>
      </c>
      <c r="D6" s="4" t="s">
        <v>39</v>
      </c>
      <c r="E6" s="4" t="s">
        <v>23</v>
      </c>
      <c r="F6" s="4" t="s">
        <v>40</v>
      </c>
      <c r="G6" s="4">
        <v>4</v>
      </c>
      <c r="H6" s="4">
        <v>33636</v>
      </c>
      <c r="I6" s="4">
        <v>19967</v>
      </c>
      <c r="J6" s="4">
        <v>134544</v>
      </c>
      <c r="K6" s="4">
        <v>79868</v>
      </c>
      <c r="L6" s="4">
        <v>35242</v>
      </c>
      <c r="M6" s="4">
        <v>0</v>
      </c>
      <c r="N6" s="4">
        <v>3000</v>
      </c>
      <c r="O6" s="4">
        <v>118110</v>
      </c>
      <c r="P6" s="4">
        <v>16434</v>
      </c>
      <c r="Q6" s="4">
        <v>2025</v>
      </c>
      <c r="R6" s="4">
        <v>1</v>
      </c>
      <c r="S6" s="4" t="s">
        <v>326</v>
      </c>
      <c r="T6" s="4">
        <v>12.21</v>
      </c>
    </row>
    <row r="7" spans="1:20" x14ac:dyDescent="0.3">
      <c r="A7" s="4" t="s">
        <v>41</v>
      </c>
      <c r="B7" s="5">
        <v>45684</v>
      </c>
      <c r="C7" s="4" t="s">
        <v>32</v>
      </c>
      <c r="D7" s="4" t="s">
        <v>28</v>
      </c>
      <c r="E7" s="4" t="s">
        <v>29</v>
      </c>
      <c r="F7" s="4" t="s">
        <v>42</v>
      </c>
      <c r="G7" s="4">
        <v>11</v>
      </c>
      <c r="H7" s="4">
        <v>180557</v>
      </c>
      <c r="I7" s="4">
        <v>128867</v>
      </c>
      <c r="J7" s="4">
        <v>1986127</v>
      </c>
      <c r="K7" s="4">
        <v>1417537</v>
      </c>
      <c r="L7" s="4">
        <v>35536</v>
      </c>
      <c r="M7" s="4">
        <v>5000</v>
      </c>
      <c r="N7" s="4">
        <v>2000</v>
      </c>
      <c r="O7" s="4">
        <v>1460073</v>
      </c>
      <c r="P7" s="4">
        <v>526054</v>
      </c>
      <c r="Q7" s="4">
        <v>2025</v>
      </c>
      <c r="R7" s="4">
        <v>1</v>
      </c>
      <c r="S7" s="4" t="s">
        <v>326</v>
      </c>
      <c r="T7" s="4">
        <v>26.49</v>
      </c>
    </row>
    <row r="8" spans="1:20" x14ac:dyDescent="0.3">
      <c r="A8" s="4" t="s">
        <v>43</v>
      </c>
      <c r="B8" s="5">
        <v>45686</v>
      </c>
      <c r="C8" s="4" t="s">
        <v>27</v>
      </c>
      <c r="D8" s="4" t="s">
        <v>28</v>
      </c>
      <c r="E8" s="4" t="s">
        <v>29</v>
      </c>
      <c r="F8" s="4" t="s">
        <v>24</v>
      </c>
      <c r="G8" s="4">
        <v>14</v>
      </c>
      <c r="H8" s="4">
        <v>187211</v>
      </c>
      <c r="I8" s="4">
        <v>128295</v>
      </c>
      <c r="J8" s="4">
        <v>2620954</v>
      </c>
      <c r="K8" s="4">
        <v>1796130</v>
      </c>
      <c r="L8" s="4">
        <v>9785</v>
      </c>
      <c r="M8" s="4">
        <v>5000</v>
      </c>
      <c r="N8" s="4">
        <v>2000</v>
      </c>
      <c r="O8" s="4">
        <v>1812915</v>
      </c>
      <c r="P8" s="4">
        <v>808039</v>
      </c>
      <c r="Q8" s="4">
        <v>2025</v>
      </c>
      <c r="R8" s="4">
        <v>1</v>
      </c>
      <c r="S8" s="4" t="s">
        <v>326</v>
      </c>
      <c r="T8" s="4">
        <v>30.83</v>
      </c>
    </row>
    <row r="9" spans="1:20" x14ac:dyDescent="0.3">
      <c r="A9" s="4" t="s">
        <v>44</v>
      </c>
      <c r="B9" s="5">
        <v>45689</v>
      </c>
      <c r="C9" s="4" t="s">
        <v>32</v>
      </c>
      <c r="D9" s="4" t="s">
        <v>35</v>
      </c>
      <c r="E9" s="4" t="s">
        <v>36</v>
      </c>
      <c r="F9" s="4" t="s">
        <v>45</v>
      </c>
      <c r="G9" s="4">
        <v>4</v>
      </c>
      <c r="H9" s="4">
        <v>485216</v>
      </c>
      <c r="I9" s="4">
        <v>389961</v>
      </c>
      <c r="J9" s="4">
        <v>1940864</v>
      </c>
      <c r="K9" s="4">
        <v>1559844</v>
      </c>
      <c r="L9" s="4">
        <v>12696</v>
      </c>
      <c r="M9" s="4">
        <v>10000</v>
      </c>
      <c r="N9" s="4">
        <v>5000</v>
      </c>
      <c r="O9" s="4">
        <v>1587540</v>
      </c>
      <c r="P9" s="4">
        <v>353324</v>
      </c>
      <c r="Q9" s="4">
        <v>2025</v>
      </c>
      <c r="R9" s="4">
        <v>2</v>
      </c>
      <c r="S9" s="4" t="s">
        <v>327</v>
      </c>
      <c r="T9" s="4">
        <v>18.2</v>
      </c>
    </row>
    <row r="10" spans="1:20" x14ac:dyDescent="0.3">
      <c r="A10" s="4" t="s">
        <v>47</v>
      </c>
      <c r="B10" s="5">
        <v>45690</v>
      </c>
      <c r="C10" s="4" t="s">
        <v>27</v>
      </c>
      <c r="D10" s="4" t="s">
        <v>28</v>
      </c>
      <c r="E10" s="4" t="s">
        <v>29</v>
      </c>
      <c r="F10" s="4" t="s">
        <v>45</v>
      </c>
      <c r="G10" s="4">
        <v>9</v>
      </c>
      <c r="H10" s="4">
        <v>175198</v>
      </c>
      <c r="I10" s="4">
        <v>133066</v>
      </c>
      <c r="J10" s="4">
        <v>1576782</v>
      </c>
      <c r="K10" s="4">
        <v>1197594</v>
      </c>
      <c r="L10" s="4">
        <v>12020</v>
      </c>
      <c r="M10" s="4">
        <v>20000</v>
      </c>
      <c r="N10" s="4">
        <v>3000</v>
      </c>
      <c r="O10" s="4">
        <v>1232614</v>
      </c>
      <c r="P10" s="4">
        <v>344168</v>
      </c>
      <c r="Q10" s="4">
        <v>2025</v>
      </c>
      <c r="R10" s="4">
        <v>2</v>
      </c>
      <c r="S10" s="4" t="s">
        <v>327</v>
      </c>
      <c r="T10" s="4">
        <v>21.83</v>
      </c>
    </row>
    <row r="11" spans="1:20" x14ac:dyDescent="0.3">
      <c r="A11" s="4" t="s">
        <v>48</v>
      </c>
      <c r="B11" s="5">
        <v>45698</v>
      </c>
      <c r="C11" s="4" t="s">
        <v>49</v>
      </c>
      <c r="D11" s="4" t="s">
        <v>28</v>
      </c>
      <c r="E11" s="4" t="s">
        <v>29</v>
      </c>
      <c r="F11" s="4" t="s">
        <v>45</v>
      </c>
      <c r="G11">
        <v>1</v>
      </c>
      <c r="H11">
        <v>167263</v>
      </c>
      <c r="I11">
        <v>133973</v>
      </c>
      <c r="J11">
        <v>167263</v>
      </c>
      <c r="K11">
        <v>133973</v>
      </c>
      <c r="L11">
        <v>9941</v>
      </c>
      <c r="M11">
        <v>10000</v>
      </c>
      <c r="N11">
        <v>5000</v>
      </c>
      <c r="O11">
        <v>158914</v>
      </c>
      <c r="P11">
        <v>8349</v>
      </c>
      <c r="Q11">
        <v>2025</v>
      </c>
      <c r="R11">
        <v>2</v>
      </c>
      <c r="S11" s="4" t="s">
        <v>327</v>
      </c>
      <c r="T11">
        <v>4.99</v>
      </c>
    </row>
    <row r="12" spans="1:20" x14ac:dyDescent="0.3">
      <c r="A12" s="4" t="s">
        <v>50</v>
      </c>
      <c r="B12" s="5">
        <v>45700</v>
      </c>
      <c r="C12" s="4" t="s">
        <v>34</v>
      </c>
      <c r="D12" s="4" t="s">
        <v>28</v>
      </c>
      <c r="E12" s="4" t="s">
        <v>29</v>
      </c>
      <c r="F12" s="4" t="s">
        <v>45</v>
      </c>
      <c r="G12">
        <v>9</v>
      </c>
      <c r="H12">
        <v>166689</v>
      </c>
      <c r="I12">
        <v>135160</v>
      </c>
      <c r="J12">
        <v>1500201</v>
      </c>
      <c r="K12">
        <v>1216440</v>
      </c>
      <c r="L12">
        <v>25640</v>
      </c>
      <c r="M12">
        <v>10000</v>
      </c>
      <c r="N12">
        <v>2000</v>
      </c>
      <c r="O12">
        <v>1254080</v>
      </c>
      <c r="P12">
        <v>246121</v>
      </c>
      <c r="Q12">
        <v>2025</v>
      </c>
      <c r="R12">
        <v>2</v>
      </c>
      <c r="S12" s="4" t="s">
        <v>327</v>
      </c>
      <c r="T12">
        <v>16.41</v>
      </c>
    </row>
    <row r="13" spans="1:20" x14ac:dyDescent="0.3">
      <c r="A13" s="4" t="s">
        <v>51</v>
      </c>
      <c r="B13" s="5">
        <v>45702</v>
      </c>
      <c r="C13" s="4" t="s">
        <v>49</v>
      </c>
      <c r="D13" s="4" t="s">
        <v>28</v>
      </c>
      <c r="E13" s="4" t="s">
        <v>29</v>
      </c>
      <c r="F13" s="4" t="s">
        <v>40</v>
      </c>
      <c r="G13">
        <v>12</v>
      </c>
      <c r="H13">
        <v>174919</v>
      </c>
      <c r="I13">
        <v>128952</v>
      </c>
      <c r="J13">
        <v>2099028</v>
      </c>
      <c r="K13">
        <v>1547424</v>
      </c>
      <c r="L13">
        <v>33434</v>
      </c>
      <c r="M13">
        <v>5000</v>
      </c>
      <c r="N13">
        <v>8000</v>
      </c>
      <c r="O13">
        <v>1593858</v>
      </c>
      <c r="P13">
        <v>505170</v>
      </c>
      <c r="Q13">
        <v>2025</v>
      </c>
      <c r="R13">
        <v>2</v>
      </c>
      <c r="S13" s="4" t="s">
        <v>327</v>
      </c>
      <c r="T13">
        <v>24.07</v>
      </c>
    </row>
    <row r="14" spans="1:20" x14ac:dyDescent="0.3">
      <c r="A14" s="4" t="s">
        <v>52</v>
      </c>
      <c r="B14" s="5">
        <v>45703</v>
      </c>
      <c r="C14" s="4" t="s">
        <v>49</v>
      </c>
      <c r="D14" s="4" t="s">
        <v>22</v>
      </c>
      <c r="E14" s="4" t="s">
        <v>23</v>
      </c>
      <c r="F14" s="4" t="s">
        <v>37</v>
      </c>
      <c r="G14">
        <v>1</v>
      </c>
      <c r="H14">
        <v>23041</v>
      </c>
      <c r="I14">
        <v>14542</v>
      </c>
      <c r="J14">
        <v>23041</v>
      </c>
      <c r="K14">
        <v>14542</v>
      </c>
      <c r="L14">
        <v>34382</v>
      </c>
      <c r="M14">
        <v>5000</v>
      </c>
      <c r="N14">
        <v>5000</v>
      </c>
      <c r="O14">
        <v>58924</v>
      </c>
      <c r="P14">
        <v>-35883</v>
      </c>
      <c r="Q14">
        <v>2025</v>
      </c>
      <c r="R14">
        <v>2</v>
      </c>
      <c r="S14" s="4" t="s">
        <v>327</v>
      </c>
      <c r="T14">
        <v>-155.74</v>
      </c>
    </row>
    <row r="15" spans="1:20" x14ac:dyDescent="0.3">
      <c r="A15" s="4" t="s">
        <v>53</v>
      </c>
      <c r="B15" s="5">
        <v>45703</v>
      </c>
      <c r="C15" s="4" t="s">
        <v>32</v>
      </c>
      <c r="D15" s="4" t="s">
        <v>28</v>
      </c>
      <c r="E15" s="4" t="s">
        <v>29</v>
      </c>
      <c r="F15" s="4" t="s">
        <v>45</v>
      </c>
      <c r="G15">
        <v>6</v>
      </c>
      <c r="H15">
        <v>178318</v>
      </c>
      <c r="I15">
        <v>126004</v>
      </c>
      <c r="J15">
        <v>1069908</v>
      </c>
      <c r="K15">
        <v>756024</v>
      </c>
      <c r="L15">
        <v>34294</v>
      </c>
      <c r="M15">
        <v>15000</v>
      </c>
      <c r="N15">
        <v>8000</v>
      </c>
      <c r="O15">
        <v>813318</v>
      </c>
      <c r="P15">
        <v>256590</v>
      </c>
      <c r="Q15">
        <v>2025</v>
      </c>
      <c r="R15">
        <v>2</v>
      </c>
      <c r="S15" s="4" t="s">
        <v>327</v>
      </c>
      <c r="T15">
        <v>23.98</v>
      </c>
    </row>
    <row r="16" spans="1:20" x14ac:dyDescent="0.3">
      <c r="A16" s="4" t="s">
        <v>54</v>
      </c>
      <c r="B16" s="5">
        <v>45704</v>
      </c>
      <c r="C16" s="4" t="s">
        <v>21</v>
      </c>
      <c r="D16" s="4" t="s">
        <v>35</v>
      </c>
      <c r="E16" s="4" t="s">
        <v>36</v>
      </c>
      <c r="F16" s="4" t="s">
        <v>42</v>
      </c>
      <c r="G16">
        <v>12</v>
      </c>
      <c r="H16">
        <v>492524</v>
      </c>
      <c r="I16">
        <v>390824</v>
      </c>
      <c r="J16">
        <v>5910288</v>
      </c>
      <c r="K16">
        <v>4689888</v>
      </c>
      <c r="L16">
        <v>24968</v>
      </c>
      <c r="M16">
        <v>5000</v>
      </c>
      <c r="N16">
        <v>10000</v>
      </c>
      <c r="O16">
        <v>4729856</v>
      </c>
      <c r="P16">
        <v>1180432</v>
      </c>
      <c r="Q16">
        <v>2025</v>
      </c>
      <c r="R16">
        <v>2</v>
      </c>
      <c r="S16" s="4" t="s">
        <v>327</v>
      </c>
      <c r="T16">
        <v>19.97</v>
      </c>
    </row>
    <row r="17" spans="1:20" x14ac:dyDescent="0.3">
      <c r="A17" s="4" t="s">
        <v>55</v>
      </c>
      <c r="B17" s="5">
        <v>45704</v>
      </c>
      <c r="C17" s="4" t="s">
        <v>27</v>
      </c>
      <c r="D17" s="4" t="s">
        <v>56</v>
      </c>
      <c r="E17" s="4" t="s">
        <v>36</v>
      </c>
      <c r="F17" s="4" t="s">
        <v>42</v>
      </c>
      <c r="G17">
        <v>10</v>
      </c>
      <c r="H17">
        <v>152798</v>
      </c>
      <c r="I17">
        <v>103937</v>
      </c>
      <c r="J17">
        <v>1527980</v>
      </c>
      <c r="K17">
        <v>1039370</v>
      </c>
      <c r="L17">
        <v>14456</v>
      </c>
      <c r="M17">
        <v>0</v>
      </c>
      <c r="N17">
        <v>8000</v>
      </c>
      <c r="O17">
        <v>1061826</v>
      </c>
      <c r="P17">
        <v>466154</v>
      </c>
      <c r="Q17">
        <v>2025</v>
      </c>
      <c r="R17">
        <v>2</v>
      </c>
      <c r="S17" s="4" t="s">
        <v>327</v>
      </c>
      <c r="T17">
        <v>30.51</v>
      </c>
    </row>
    <row r="18" spans="1:20" x14ac:dyDescent="0.3">
      <c r="A18" s="4" t="s">
        <v>57</v>
      </c>
      <c r="B18" s="5">
        <v>45706</v>
      </c>
      <c r="C18" s="4" t="s">
        <v>49</v>
      </c>
      <c r="D18" s="4" t="s">
        <v>58</v>
      </c>
      <c r="E18" s="4" t="s">
        <v>29</v>
      </c>
      <c r="F18" s="4" t="s">
        <v>42</v>
      </c>
      <c r="G18">
        <v>11</v>
      </c>
      <c r="H18">
        <v>229570</v>
      </c>
      <c r="I18">
        <v>175049</v>
      </c>
      <c r="J18">
        <v>2525270</v>
      </c>
      <c r="K18">
        <v>1925539</v>
      </c>
      <c r="L18">
        <v>10790</v>
      </c>
      <c r="M18">
        <v>15000</v>
      </c>
      <c r="N18">
        <v>10000</v>
      </c>
      <c r="O18">
        <v>1961329</v>
      </c>
      <c r="P18">
        <v>563941</v>
      </c>
      <c r="Q18">
        <v>2025</v>
      </c>
      <c r="R18">
        <v>2</v>
      </c>
      <c r="S18" s="4" t="s">
        <v>327</v>
      </c>
      <c r="T18">
        <v>22.33</v>
      </c>
    </row>
    <row r="19" spans="1:20" x14ac:dyDescent="0.3">
      <c r="A19" s="4" t="s">
        <v>59</v>
      </c>
      <c r="B19" s="5">
        <v>45709</v>
      </c>
      <c r="C19" s="4" t="s">
        <v>21</v>
      </c>
      <c r="D19" s="4" t="s">
        <v>28</v>
      </c>
      <c r="E19" s="4" t="s">
        <v>29</v>
      </c>
      <c r="F19" s="4" t="s">
        <v>30</v>
      </c>
      <c r="G19">
        <v>3</v>
      </c>
      <c r="H19">
        <v>181471</v>
      </c>
      <c r="I19">
        <v>126434</v>
      </c>
      <c r="J19">
        <v>544413</v>
      </c>
      <c r="K19">
        <v>379302</v>
      </c>
      <c r="L19">
        <v>28950</v>
      </c>
      <c r="M19">
        <v>5000</v>
      </c>
      <c r="N19">
        <v>10000</v>
      </c>
      <c r="O19">
        <v>423252</v>
      </c>
      <c r="P19">
        <v>121161</v>
      </c>
      <c r="Q19">
        <v>2025</v>
      </c>
      <c r="R19">
        <v>2</v>
      </c>
      <c r="S19" s="4" t="s">
        <v>327</v>
      </c>
      <c r="T19">
        <v>22.26</v>
      </c>
    </row>
    <row r="20" spans="1:20" x14ac:dyDescent="0.3">
      <c r="A20" s="4" t="s">
        <v>60</v>
      </c>
      <c r="B20" s="5">
        <v>45709</v>
      </c>
      <c r="C20" s="4" t="s">
        <v>49</v>
      </c>
      <c r="D20" s="4" t="s">
        <v>28</v>
      </c>
      <c r="E20" s="4" t="s">
        <v>29</v>
      </c>
      <c r="F20" s="4" t="s">
        <v>45</v>
      </c>
      <c r="G20">
        <v>14</v>
      </c>
      <c r="H20">
        <v>168084</v>
      </c>
      <c r="I20">
        <v>127050</v>
      </c>
      <c r="J20">
        <v>2353176</v>
      </c>
      <c r="K20">
        <v>1778700</v>
      </c>
      <c r="L20">
        <v>12791</v>
      </c>
      <c r="M20">
        <v>10000</v>
      </c>
      <c r="N20">
        <v>10000</v>
      </c>
      <c r="O20">
        <v>1811491</v>
      </c>
      <c r="P20">
        <v>541685</v>
      </c>
      <c r="Q20">
        <v>2025</v>
      </c>
      <c r="R20">
        <v>2</v>
      </c>
      <c r="S20" s="4" t="s">
        <v>327</v>
      </c>
      <c r="T20">
        <v>23.02</v>
      </c>
    </row>
    <row r="21" spans="1:20" x14ac:dyDescent="0.3">
      <c r="A21" s="4" t="s">
        <v>61</v>
      </c>
      <c r="B21" s="5">
        <v>45709</v>
      </c>
      <c r="C21" s="4" t="s">
        <v>32</v>
      </c>
      <c r="D21" s="4" t="s">
        <v>22</v>
      </c>
      <c r="E21" s="4" t="s">
        <v>23</v>
      </c>
      <c r="F21" s="4" t="s">
        <v>40</v>
      </c>
      <c r="G21">
        <v>4</v>
      </c>
      <c r="H21">
        <v>24189</v>
      </c>
      <c r="I21">
        <v>13381</v>
      </c>
      <c r="J21">
        <v>96756</v>
      </c>
      <c r="K21">
        <v>53524</v>
      </c>
      <c r="L21">
        <v>23179</v>
      </c>
      <c r="M21">
        <v>10000</v>
      </c>
      <c r="N21">
        <v>8000</v>
      </c>
      <c r="O21">
        <v>94703</v>
      </c>
      <c r="P21">
        <v>2053</v>
      </c>
      <c r="Q21">
        <v>2025</v>
      </c>
      <c r="R21">
        <v>2</v>
      </c>
      <c r="S21" s="4" t="s">
        <v>327</v>
      </c>
      <c r="T21">
        <v>2.12</v>
      </c>
    </row>
    <row r="22" spans="1:20" x14ac:dyDescent="0.3">
      <c r="A22" s="4" t="s">
        <v>62</v>
      </c>
      <c r="B22" s="5">
        <v>45710</v>
      </c>
      <c r="C22" s="4" t="s">
        <v>49</v>
      </c>
      <c r="D22" s="4" t="s">
        <v>35</v>
      </c>
      <c r="E22" s="4" t="s">
        <v>36</v>
      </c>
      <c r="F22" s="4" t="s">
        <v>45</v>
      </c>
      <c r="G22">
        <v>14</v>
      </c>
      <c r="H22">
        <v>463138</v>
      </c>
      <c r="I22">
        <v>370652</v>
      </c>
      <c r="J22">
        <v>6483932</v>
      </c>
      <c r="K22">
        <v>5189128</v>
      </c>
      <c r="L22">
        <v>11608</v>
      </c>
      <c r="M22">
        <v>10000</v>
      </c>
      <c r="N22">
        <v>3000</v>
      </c>
      <c r="O22">
        <v>5213736</v>
      </c>
      <c r="P22">
        <v>1270196</v>
      </c>
      <c r="Q22">
        <v>2025</v>
      </c>
      <c r="R22">
        <v>2</v>
      </c>
      <c r="S22" s="4" t="s">
        <v>327</v>
      </c>
      <c r="T22">
        <v>19.59</v>
      </c>
    </row>
    <row r="23" spans="1:20" x14ac:dyDescent="0.3">
      <c r="A23" s="4" t="s">
        <v>63</v>
      </c>
      <c r="B23" s="5">
        <v>45712</v>
      </c>
      <c r="C23" s="4" t="s">
        <v>21</v>
      </c>
      <c r="D23" s="4" t="s">
        <v>58</v>
      </c>
      <c r="E23" s="4" t="s">
        <v>29</v>
      </c>
      <c r="F23" s="4" t="s">
        <v>37</v>
      </c>
      <c r="G23">
        <v>13</v>
      </c>
      <c r="H23">
        <v>234731</v>
      </c>
      <c r="I23">
        <v>172099</v>
      </c>
      <c r="J23">
        <v>3051503</v>
      </c>
      <c r="K23">
        <v>2237287</v>
      </c>
      <c r="L23">
        <v>16415</v>
      </c>
      <c r="M23">
        <v>0</v>
      </c>
      <c r="N23">
        <v>10000</v>
      </c>
      <c r="O23">
        <v>2263702</v>
      </c>
      <c r="P23">
        <v>787801</v>
      </c>
      <c r="Q23">
        <v>2025</v>
      </c>
      <c r="R23">
        <v>2</v>
      </c>
      <c r="S23" s="4" t="s">
        <v>327</v>
      </c>
      <c r="T23">
        <v>25.82</v>
      </c>
    </row>
    <row r="24" spans="1:20" x14ac:dyDescent="0.3">
      <c r="A24" s="4" t="s">
        <v>64</v>
      </c>
      <c r="B24" s="5">
        <v>45716</v>
      </c>
      <c r="C24" s="4" t="s">
        <v>49</v>
      </c>
      <c r="D24" s="4" t="s">
        <v>35</v>
      </c>
      <c r="E24" s="4" t="s">
        <v>36</v>
      </c>
      <c r="F24" s="4" t="s">
        <v>42</v>
      </c>
      <c r="G24">
        <v>6</v>
      </c>
      <c r="H24">
        <v>478799</v>
      </c>
      <c r="I24">
        <v>402671</v>
      </c>
      <c r="J24">
        <v>2872794</v>
      </c>
      <c r="K24">
        <v>2416026</v>
      </c>
      <c r="L24">
        <v>12802</v>
      </c>
      <c r="M24">
        <v>0</v>
      </c>
      <c r="N24">
        <v>3000</v>
      </c>
      <c r="O24">
        <v>2431828</v>
      </c>
      <c r="P24">
        <v>440966</v>
      </c>
      <c r="Q24">
        <v>2025</v>
      </c>
      <c r="R24">
        <v>2</v>
      </c>
      <c r="S24" s="4" t="s">
        <v>327</v>
      </c>
      <c r="T24">
        <v>15.35</v>
      </c>
    </row>
    <row r="25" spans="1:20" x14ac:dyDescent="0.3">
      <c r="A25" s="4" t="s">
        <v>65</v>
      </c>
      <c r="B25" s="5">
        <v>45719</v>
      </c>
      <c r="C25" s="4" t="s">
        <v>27</v>
      </c>
      <c r="D25" s="4" t="s">
        <v>39</v>
      </c>
      <c r="E25" s="4" t="s">
        <v>23</v>
      </c>
      <c r="F25" s="4" t="s">
        <v>30</v>
      </c>
      <c r="G25">
        <v>13</v>
      </c>
      <c r="H25">
        <v>33918</v>
      </c>
      <c r="I25">
        <v>20437</v>
      </c>
      <c r="J25">
        <v>440934</v>
      </c>
      <c r="K25">
        <v>265681</v>
      </c>
      <c r="L25">
        <v>26640</v>
      </c>
      <c r="M25">
        <v>0</v>
      </c>
      <c r="N25">
        <v>3000</v>
      </c>
      <c r="O25">
        <v>295321</v>
      </c>
      <c r="P25">
        <v>145613</v>
      </c>
      <c r="Q25">
        <v>2025</v>
      </c>
      <c r="R25">
        <v>3</v>
      </c>
      <c r="S25" s="4" t="s">
        <v>328</v>
      </c>
      <c r="T25">
        <v>33.020000000000003</v>
      </c>
    </row>
    <row r="26" spans="1:20" x14ac:dyDescent="0.3">
      <c r="A26" s="4" t="s">
        <v>67</v>
      </c>
      <c r="B26" s="5">
        <v>45723</v>
      </c>
      <c r="C26" s="4" t="s">
        <v>49</v>
      </c>
      <c r="D26" s="4" t="s">
        <v>56</v>
      </c>
      <c r="E26" s="4" t="s">
        <v>36</v>
      </c>
      <c r="F26" s="4" t="s">
        <v>45</v>
      </c>
      <c r="G26">
        <v>10</v>
      </c>
      <c r="H26">
        <v>147346</v>
      </c>
      <c r="I26">
        <v>105861</v>
      </c>
      <c r="J26">
        <v>1473460</v>
      </c>
      <c r="K26">
        <v>1058610</v>
      </c>
      <c r="L26">
        <v>28910</v>
      </c>
      <c r="M26">
        <v>0</v>
      </c>
      <c r="N26">
        <v>2000</v>
      </c>
      <c r="O26">
        <v>1089520</v>
      </c>
      <c r="P26">
        <v>383940</v>
      </c>
      <c r="Q26">
        <v>2025</v>
      </c>
      <c r="R26">
        <v>3</v>
      </c>
      <c r="S26" s="4" t="s">
        <v>328</v>
      </c>
      <c r="T26">
        <v>26.06</v>
      </c>
    </row>
    <row r="27" spans="1:20" x14ac:dyDescent="0.3">
      <c r="A27" s="4" t="s">
        <v>68</v>
      </c>
      <c r="B27" s="5">
        <v>45724</v>
      </c>
      <c r="C27" s="4" t="s">
        <v>32</v>
      </c>
      <c r="D27" s="4" t="s">
        <v>39</v>
      </c>
      <c r="E27" s="4" t="s">
        <v>23</v>
      </c>
      <c r="F27" s="4" t="s">
        <v>42</v>
      </c>
      <c r="G27">
        <v>5</v>
      </c>
      <c r="H27">
        <v>35031</v>
      </c>
      <c r="I27">
        <v>21917</v>
      </c>
      <c r="J27">
        <v>175155</v>
      </c>
      <c r="K27">
        <v>109585</v>
      </c>
      <c r="L27">
        <v>35405</v>
      </c>
      <c r="M27">
        <v>5000</v>
      </c>
      <c r="N27">
        <v>5000</v>
      </c>
      <c r="O27">
        <v>154990</v>
      </c>
      <c r="P27">
        <v>20165</v>
      </c>
      <c r="Q27">
        <v>2025</v>
      </c>
      <c r="R27">
        <v>3</v>
      </c>
      <c r="S27" s="4" t="s">
        <v>328</v>
      </c>
      <c r="T27">
        <v>11.51</v>
      </c>
    </row>
    <row r="28" spans="1:20" x14ac:dyDescent="0.3">
      <c r="A28" s="4" t="s">
        <v>69</v>
      </c>
      <c r="B28" s="5">
        <v>45729</v>
      </c>
      <c r="C28" s="4" t="s">
        <v>34</v>
      </c>
      <c r="D28" s="4" t="s">
        <v>22</v>
      </c>
      <c r="E28" s="4" t="s">
        <v>23</v>
      </c>
      <c r="F28" s="4" t="s">
        <v>24</v>
      </c>
      <c r="G28">
        <v>10</v>
      </c>
      <c r="H28">
        <v>22877</v>
      </c>
      <c r="I28">
        <v>14606</v>
      </c>
      <c r="J28">
        <v>228770</v>
      </c>
      <c r="K28">
        <v>146060</v>
      </c>
      <c r="L28">
        <v>35730</v>
      </c>
      <c r="M28">
        <v>10000</v>
      </c>
      <c r="N28">
        <v>10000</v>
      </c>
      <c r="O28">
        <v>201790</v>
      </c>
      <c r="P28">
        <v>26980</v>
      </c>
      <c r="Q28">
        <v>2025</v>
      </c>
      <c r="R28">
        <v>3</v>
      </c>
      <c r="S28" s="4" t="s">
        <v>328</v>
      </c>
      <c r="T28">
        <v>11.79</v>
      </c>
    </row>
    <row r="29" spans="1:20" x14ac:dyDescent="0.3">
      <c r="A29" s="4" t="s">
        <v>70</v>
      </c>
      <c r="B29" s="5">
        <v>45731</v>
      </c>
      <c r="C29" s="4" t="s">
        <v>21</v>
      </c>
      <c r="D29" s="4" t="s">
        <v>39</v>
      </c>
      <c r="E29" s="4" t="s">
        <v>23</v>
      </c>
      <c r="F29" s="4" t="s">
        <v>30</v>
      </c>
      <c r="G29">
        <v>9</v>
      </c>
      <c r="H29">
        <v>35014</v>
      </c>
      <c r="I29">
        <v>20327</v>
      </c>
      <c r="J29">
        <v>315126</v>
      </c>
      <c r="K29">
        <v>182943</v>
      </c>
      <c r="L29">
        <v>21791</v>
      </c>
      <c r="M29">
        <v>10000</v>
      </c>
      <c r="N29">
        <v>10000</v>
      </c>
      <c r="O29">
        <v>224734</v>
      </c>
      <c r="P29">
        <v>90392</v>
      </c>
      <c r="Q29">
        <v>2025</v>
      </c>
      <c r="R29">
        <v>3</v>
      </c>
      <c r="S29" s="4" t="s">
        <v>328</v>
      </c>
      <c r="T29">
        <v>28.68</v>
      </c>
    </row>
    <row r="30" spans="1:20" x14ac:dyDescent="0.3">
      <c r="A30" s="4" t="s">
        <v>71</v>
      </c>
      <c r="B30" s="5">
        <v>45738</v>
      </c>
      <c r="C30" s="4" t="s">
        <v>49</v>
      </c>
      <c r="D30" s="4" t="s">
        <v>39</v>
      </c>
      <c r="E30" s="4" t="s">
        <v>23</v>
      </c>
      <c r="F30" s="4" t="s">
        <v>37</v>
      </c>
      <c r="G30">
        <v>10</v>
      </c>
      <c r="H30">
        <v>32985</v>
      </c>
      <c r="I30">
        <v>21100</v>
      </c>
      <c r="J30">
        <v>329850</v>
      </c>
      <c r="K30">
        <v>211000</v>
      </c>
      <c r="L30">
        <v>30135</v>
      </c>
      <c r="M30">
        <v>5000</v>
      </c>
      <c r="N30">
        <v>3000</v>
      </c>
      <c r="O30">
        <v>249135</v>
      </c>
      <c r="P30">
        <v>80715</v>
      </c>
      <c r="Q30">
        <v>2025</v>
      </c>
      <c r="R30">
        <v>3</v>
      </c>
      <c r="S30" s="4" t="s">
        <v>328</v>
      </c>
      <c r="T30">
        <v>24.47</v>
      </c>
    </row>
    <row r="31" spans="1:20" x14ac:dyDescent="0.3">
      <c r="A31" s="4" t="s">
        <v>72</v>
      </c>
      <c r="B31" s="5">
        <v>45741</v>
      </c>
      <c r="C31" s="4" t="s">
        <v>49</v>
      </c>
      <c r="D31" s="4" t="s">
        <v>28</v>
      </c>
      <c r="E31" s="4" t="s">
        <v>29</v>
      </c>
      <c r="F31" s="4" t="s">
        <v>42</v>
      </c>
      <c r="G31">
        <v>11</v>
      </c>
      <c r="H31">
        <v>163696</v>
      </c>
      <c r="I31">
        <v>132181</v>
      </c>
      <c r="J31">
        <v>1800656</v>
      </c>
      <c r="K31">
        <v>1453991</v>
      </c>
      <c r="L31">
        <v>23214</v>
      </c>
      <c r="M31">
        <v>10000</v>
      </c>
      <c r="N31">
        <v>3000</v>
      </c>
      <c r="O31">
        <v>1490205</v>
      </c>
      <c r="P31">
        <v>310451</v>
      </c>
      <c r="Q31">
        <v>2025</v>
      </c>
      <c r="R31">
        <v>3</v>
      </c>
      <c r="S31" s="4" t="s">
        <v>328</v>
      </c>
      <c r="T31">
        <v>17.239999999999998</v>
      </c>
    </row>
    <row r="32" spans="1:20" x14ac:dyDescent="0.3">
      <c r="A32" s="4" t="s">
        <v>73</v>
      </c>
      <c r="B32" s="5">
        <v>45741</v>
      </c>
      <c r="C32" s="4" t="s">
        <v>21</v>
      </c>
      <c r="D32" s="4" t="s">
        <v>39</v>
      </c>
      <c r="E32" s="4" t="s">
        <v>23</v>
      </c>
      <c r="F32" s="4" t="s">
        <v>42</v>
      </c>
      <c r="G32">
        <v>15</v>
      </c>
      <c r="H32">
        <v>33230</v>
      </c>
      <c r="I32">
        <v>22185</v>
      </c>
      <c r="J32">
        <v>498450</v>
      </c>
      <c r="K32">
        <v>332775</v>
      </c>
      <c r="L32">
        <v>34859</v>
      </c>
      <c r="M32">
        <v>15000</v>
      </c>
      <c r="N32">
        <v>3000</v>
      </c>
      <c r="O32">
        <v>385634</v>
      </c>
      <c r="P32">
        <v>112816</v>
      </c>
      <c r="Q32">
        <v>2025</v>
      </c>
      <c r="R32">
        <v>3</v>
      </c>
      <c r="S32" s="4" t="s">
        <v>328</v>
      </c>
      <c r="T32">
        <v>22.63</v>
      </c>
    </row>
    <row r="33" spans="1:20" x14ac:dyDescent="0.3">
      <c r="A33" s="4" t="s">
        <v>74</v>
      </c>
      <c r="B33" s="5">
        <v>45743</v>
      </c>
      <c r="C33" s="4" t="s">
        <v>34</v>
      </c>
      <c r="D33" s="4" t="s">
        <v>58</v>
      </c>
      <c r="E33" s="4" t="s">
        <v>29</v>
      </c>
      <c r="F33" s="4" t="s">
        <v>37</v>
      </c>
      <c r="G33">
        <v>8</v>
      </c>
      <c r="H33">
        <v>238097</v>
      </c>
      <c r="I33">
        <v>169086</v>
      </c>
      <c r="J33">
        <v>1904776</v>
      </c>
      <c r="K33">
        <v>1352688</v>
      </c>
      <c r="L33">
        <v>24169</v>
      </c>
      <c r="M33">
        <v>0</v>
      </c>
      <c r="N33">
        <v>3000</v>
      </c>
      <c r="O33">
        <v>1379857</v>
      </c>
      <c r="P33">
        <v>524919</v>
      </c>
      <c r="Q33">
        <v>2025</v>
      </c>
      <c r="R33">
        <v>3</v>
      </c>
      <c r="S33" s="4" t="s">
        <v>328</v>
      </c>
      <c r="T33">
        <v>27.56</v>
      </c>
    </row>
    <row r="34" spans="1:20" x14ac:dyDescent="0.3">
      <c r="A34" s="4" t="s">
        <v>75</v>
      </c>
      <c r="B34" s="5">
        <v>45744</v>
      </c>
      <c r="C34" s="4" t="s">
        <v>32</v>
      </c>
      <c r="D34" s="4" t="s">
        <v>28</v>
      </c>
      <c r="E34" s="4" t="s">
        <v>29</v>
      </c>
      <c r="F34" s="4" t="s">
        <v>45</v>
      </c>
      <c r="G34">
        <v>7</v>
      </c>
      <c r="H34">
        <v>174291</v>
      </c>
      <c r="I34">
        <v>128197</v>
      </c>
      <c r="J34">
        <v>1220037</v>
      </c>
      <c r="K34">
        <v>897379</v>
      </c>
      <c r="L34">
        <v>11484</v>
      </c>
      <c r="M34">
        <v>20000</v>
      </c>
      <c r="N34">
        <v>2000</v>
      </c>
      <c r="O34">
        <v>930863</v>
      </c>
      <c r="P34">
        <v>289174</v>
      </c>
      <c r="Q34">
        <v>2025</v>
      </c>
      <c r="R34">
        <v>3</v>
      </c>
      <c r="S34" s="4" t="s">
        <v>328</v>
      </c>
      <c r="T34">
        <v>23.7</v>
      </c>
    </row>
    <row r="35" spans="1:20" x14ac:dyDescent="0.3">
      <c r="A35" s="4" t="s">
        <v>76</v>
      </c>
      <c r="B35" s="5">
        <v>45744</v>
      </c>
      <c r="C35" s="4" t="s">
        <v>21</v>
      </c>
      <c r="D35" s="4" t="s">
        <v>39</v>
      </c>
      <c r="E35" s="4" t="s">
        <v>23</v>
      </c>
      <c r="F35" s="4" t="s">
        <v>42</v>
      </c>
      <c r="G35">
        <v>1</v>
      </c>
      <c r="H35">
        <v>32749</v>
      </c>
      <c r="I35">
        <v>20961</v>
      </c>
      <c r="J35">
        <v>32749</v>
      </c>
      <c r="K35">
        <v>20961</v>
      </c>
      <c r="L35">
        <v>24248</v>
      </c>
      <c r="M35">
        <v>20000</v>
      </c>
      <c r="N35">
        <v>10000</v>
      </c>
      <c r="O35">
        <v>75209</v>
      </c>
      <c r="P35">
        <v>-42460</v>
      </c>
      <c r="Q35">
        <v>2025</v>
      </c>
      <c r="R35">
        <v>3</v>
      </c>
      <c r="S35" s="4" t="s">
        <v>328</v>
      </c>
      <c r="T35">
        <v>-129.65</v>
      </c>
    </row>
    <row r="36" spans="1:20" x14ac:dyDescent="0.3">
      <c r="A36" s="4" t="s">
        <v>77</v>
      </c>
      <c r="B36" s="5">
        <v>45745</v>
      </c>
      <c r="C36" s="4" t="s">
        <v>49</v>
      </c>
      <c r="D36" s="4" t="s">
        <v>35</v>
      </c>
      <c r="E36" s="4" t="s">
        <v>36</v>
      </c>
      <c r="F36" s="4" t="s">
        <v>42</v>
      </c>
      <c r="G36">
        <v>2</v>
      </c>
      <c r="H36">
        <v>494136</v>
      </c>
      <c r="I36">
        <v>386487</v>
      </c>
      <c r="J36">
        <v>988272</v>
      </c>
      <c r="K36">
        <v>772974</v>
      </c>
      <c r="L36">
        <v>11579</v>
      </c>
      <c r="M36">
        <v>20000</v>
      </c>
      <c r="N36">
        <v>2000</v>
      </c>
      <c r="O36">
        <v>806553</v>
      </c>
      <c r="P36">
        <v>181719</v>
      </c>
      <c r="Q36">
        <v>2025</v>
      </c>
      <c r="R36">
        <v>3</v>
      </c>
      <c r="S36" s="4" t="s">
        <v>328</v>
      </c>
      <c r="T36">
        <v>18.39</v>
      </c>
    </row>
    <row r="37" spans="1:20" x14ac:dyDescent="0.3">
      <c r="A37" s="4" t="s">
        <v>78</v>
      </c>
      <c r="B37" s="5">
        <v>45748</v>
      </c>
      <c r="C37" s="4" t="s">
        <v>34</v>
      </c>
      <c r="D37" s="4" t="s">
        <v>28</v>
      </c>
      <c r="E37" s="4" t="s">
        <v>29</v>
      </c>
      <c r="F37" s="4" t="s">
        <v>37</v>
      </c>
      <c r="G37">
        <v>6</v>
      </c>
      <c r="H37">
        <v>160073</v>
      </c>
      <c r="I37">
        <v>134547</v>
      </c>
      <c r="J37">
        <v>960438</v>
      </c>
      <c r="K37">
        <v>807282</v>
      </c>
      <c r="L37">
        <v>27328</v>
      </c>
      <c r="M37">
        <v>0</v>
      </c>
      <c r="N37">
        <v>10000</v>
      </c>
      <c r="O37">
        <v>844610</v>
      </c>
      <c r="P37">
        <v>115828</v>
      </c>
      <c r="Q37">
        <v>2025</v>
      </c>
      <c r="R37">
        <v>4</v>
      </c>
      <c r="S37" s="4" t="s">
        <v>329</v>
      </c>
      <c r="T37">
        <v>12.06</v>
      </c>
    </row>
    <row r="38" spans="1:20" x14ac:dyDescent="0.3">
      <c r="A38" s="4" t="s">
        <v>80</v>
      </c>
      <c r="B38" s="5">
        <v>45753</v>
      </c>
      <c r="C38" s="4" t="s">
        <v>21</v>
      </c>
      <c r="D38" s="4" t="s">
        <v>39</v>
      </c>
      <c r="E38" s="4" t="s">
        <v>23</v>
      </c>
      <c r="F38" s="4" t="s">
        <v>24</v>
      </c>
      <c r="G38">
        <v>10</v>
      </c>
      <c r="H38">
        <v>36013</v>
      </c>
      <c r="I38">
        <v>20306</v>
      </c>
      <c r="J38">
        <v>360130</v>
      </c>
      <c r="K38">
        <v>203060</v>
      </c>
      <c r="L38">
        <v>33231</v>
      </c>
      <c r="M38">
        <v>20000</v>
      </c>
      <c r="N38">
        <v>10000</v>
      </c>
      <c r="O38">
        <v>266291</v>
      </c>
      <c r="P38">
        <v>93839</v>
      </c>
      <c r="Q38">
        <v>2025</v>
      </c>
      <c r="R38">
        <v>4</v>
      </c>
      <c r="S38" s="4" t="s">
        <v>329</v>
      </c>
      <c r="T38">
        <v>26.06</v>
      </c>
    </row>
    <row r="39" spans="1:20" x14ac:dyDescent="0.3">
      <c r="A39" s="4" t="s">
        <v>81</v>
      </c>
      <c r="B39" s="5">
        <v>45755</v>
      </c>
      <c r="C39" s="4" t="s">
        <v>49</v>
      </c>
      <c r="D39" s="4" t="s">
        <v>28</v>
      </c>
      <c r="E39" s="4" t="s">
        <v>29</v>
      </c>
      <c r="F39" s="4" t="s">
        <v>40</v>
      </c>
      <c r="G39">
        <v>6</v>
      </c>
      <c r="H39">
        <v>169224</v>
      </c>
      <c r="I39">
        <v>128853</v>
      </c>
      <c r="J39">
        <v>1015344</v>
      </c>
      <c r="K39">
        <v>773118</v>
      </c>
      <c r="L39">
        <v>12501</v>
      </c>
      <c r="M39">
        <v>15000</v>
      </c>
      <c r="N39">
        <v>2000</v>
      </c>
      <c r="O39">
        <v>802619</v>
      </c>
      <c r="P39">
        <v>212725</v>
      </c>
      <c r="Q39">
        <v>2025</v>
      </c>
      <c r="R39">
        <v>4</v>
      </c>
      <c r="S39" s="4" t="s">
        <v>329</v>
      </c>
      <c r="T39">
        <v>20.95</v>
      </c>
    </row>
    <row r="40" spans="1:20" x14ac:dyDescent="0.3">
      <c r="A40" s="4" t="s">
        <v>82</v>
      </c>
      <c r="B40" s="5">
        <v>45757</v>
      </c>
      <c r="C40" s="4" t="s">
        <v>32</v>
      </c>
      <c r="D40" s="4" t="s">
        <v>58</v>
      </c>
      <c r="E40" s="4" t="s">
        <v>29</v>
      </c>
      <c r="F40" s="4" t="s">
        <v>42</v>
      </c>
      <c r="G40">
        <v>3</v>
      </c>
      <c r="H40">
        <v>224339</v>
      </c>
      <c r="I40">
        <v>173392</v>
      </c>
      <c r="J40">
        <v>673017</v>
      </c>
      <c r="K40">
        <v>520176</v>
      </c>
      <c r="L40">
        <v>36689</v>
      </c>
      <c r="M40">
        <v>20000</v>
      </c>
      <c r="N40">
        <v>8000</v>
      </c>
      <c r="O40">
        <v>584865</v>
      </c>
      <c r="P40">
        <v>88152</v>
      </c>
      <c r="Q40">
        <v>2025</v>
      </c>
      <c r="R40">
        <v>4</v>
      </c>
      <c r="S40" s="4" t="s">
        <v>329</v>
      </c>
      <c r="T40">
        <v>13.1</v>
      </c>
    </row>
    <row r="41" spans="1:20" x14ac:dyDescent="0.3">
      <c r="A41" s="4" t="s">
        <v>83</v>
      </c>
      <c r="B41" s="5">
        <v>45758</v>
      </c>
      <c r="C41" s="4" t="s">
        <v>27</v>
      </c>
      <c r="D41" s="4" t="s">
        <v>22</v>
      </c>
      <c r="E41" s="4" t="s">
        <v>23</v>
      </c>
      <c r="F41" s="4" t="s">
        <v>40</v>
      </c>
      <c r="G41">
        <v>8</v>
      </c>
      <c r="H41">
        <v>24082</v>
      </c>
      <c r="I41">
        <v>13761</v>
      </c>
      <c r="J41">
        <v>192656</v>
      </c>
      <c r="K41">
        <v>110088</v>
      </c>
      <c r="L41">
        <v>5948</v>
      </c>
      <c r="M41">
        <v>0</v>
      </c>
      <c r="N41">
        <v>5000</v>
      </c>
      <c r="O41">
        <v>121036</v>
      </c>
      <c r="P41">
        <v>71620</v>
      </c>
      <c r="Q41">
        <v>2025</v>
      </c>
      <c r="R41">
        <v>4</v>
      </c>
      <c r="S41" s="4" t="s">
        <v>329</v>
      </c>
      <c r="T41">
        <v>37.18</v>
      </c>
    </row>
    <row r="42" spans="1:20" x14ac:dyDescent="0.3">
      <c r="A42" s="4" t="s">
        <v>84</v>
      </c>
      <c r="B42" s="5">
        <v>45763</v>
      </c>
      <c r="C42" s="4" t="s">
        <v>34</v>
      </c>
      <c r="D42" s="4" t="s">
        <v>35</v>
      </c>
      <c r="E42" s="4" t="s">
        <v>36</v>
      </c>
      <c r="F42" s="4" t="s">
        <v>45</v>
      </c>
      <c r="G42">
        <v>11</v>
      </c>
      <c r="H42">
        <v>474600</v>
      </c>
      <c r="I42">
        <v>389630</v>
      </c>
      <c r="J42">
        <v>5220600</v>
      </c>
      <c r="K42">
        <v>4285930</v>
      </c>
      <c r="L42">
        <v>35645</v>
      </c>
      <c r="M42">
        <v>15000</v>
      </c>
      <c r="N42">
        <v>3000</v>
      </c>
      <c r="O42">
        <v>4339575</v>
      </c>
      <c r="P42">
        <v>881025</v>
      </c>
      <c r="Q42">
        <v>2025</v>
      </c>
      <c r="R42">
        <v>4</v>
      </c>
      <c r="S42" s="4" t="s">
        <v>329</v>
      </c>
      <c r="T42">
        <v>16.88</v>
      </c>
    </row>
    <row r="43" spans="1:20" x14ac:dyDescent="0.3">
      <c r="A43" s="4" t="s">
        <v>85</v>
      </c>
      <c r="B43" s="5">
        <v>45763</v>
      </c>
      <c r="C43" s="4" t="s">
        <v>34</v>
      </c>
      <c r="D43" s="4" t="s">
        <v>58</v>
      </c>
      <c r="E43" s="4" t="s">
        <v>29</v>
      </c>
      <c r="F43" s="4" t="s">
        <v>45</v>
      </c>
      <c r="G43">
        <v>4</v>
      </c>
      <c r="H43">
        <v>215229</v>
      </c>
      <c r="I43">
        <v>169193</v>
      </c>
      <c r="J43">
        <v>860916</v>
      </c>
      <c r="K43">
        <v>676772</v>
      </c>
      <c r="L43">
        <v>37344</v>
      </c>
      <c r="M43">
        <v>0</v>
      </c>
      <c r="N43">
        <v>3000</v>
      </c>
      <c r="O43">
        <v>717116</v>
      </c>
      <c r="P43">
        <v>143800</v>
      </c>
      <c r="Q43">
        <v>2025</v>
      </c>
      <c r="R43">
        <v>4</v>
      </c>
      <c r="S43" s="4" t="s">
        <v>329</v>
      </c>
      <c r="T43">
        <v>16.7</v>
      </c>
    </row>
    <row r="44" spans="1:20" x14ac:dyDescent="0.3">
      <c r="A44" s="4" t="s">
        <v>86</v>
      </c>
      <c r="B44" s="5">
        <v>45768</v>
      </c>
      <c r="C44" s="4" t="s">
        <v>27</v>
      </c>
      <c r="D44" s="4" t="s">
        <v>56</v>
      </c>
      <c r="E44" s="4" t="s">
        <v>36</v>
      </c>
      <c r="F44" s="4" t="s">
        <v>30</v>
      </c>
      <c r="G44">
        <v>14</v>
      </c>
      <c r="H44">
        <v>150884</v>
      </c>
      <c r="I44">
        <v>102055</v>
      </c>
      <c r="J44">
        <v>2112376</v>
      </c>
      <c r="K44">
        <v>1428770</v>
      </c>
      <c r="L44">
        <v>20083</v>
      </c>
      <c r="M44">
        <v>10000</v>
      </c>
      <c r="N44">
        <v>5000</v>
      </c>
      <c r="O44">
        <v>1463853</v>
      </c>
      <c r="P44">
        <v>648523</v>
      </c>
      <c r="Q44">
        <v>2025</v>
      </c>
      <c r="R44">
        <v>4</v>
      </c>
      <c r="S44" s="4" t="s">
        <v>329</v>
      </c>
      <c r="T44">
        <v>30.7</v>
      </c>
    </row>
    <row r="45" spans="1:20" x14ac:dyDescent="0.3">
      <c r="A45" s="4" t="s">
        <v>87</v>
      </c>
      <c r="B45" s="5">
        <v>45770</v>
      </c>
      <c r="C45" s="4" t="s">
        <v>32</v>
      </c>
      <c r="D45" s="4" t="s">
        <v>56</v>
      </c>
      <c r="E45" s="4" t="s">
        <v>36</v>
      </c>
      <c r="F45" s="4" t="s">
        <v>37</v>
      </c>
      <c r="G45">
        <v>5</v>
      </c>
      <c r="H45">
        <v>148268</v>
      </c>
      <c r="I45">
        <v>108127</v>
      </c>
      <c r="J45">
        <v>741340</v>
      </c>
      <c r="K45">
        <v>540635</v>
      </c>
      <c r="L45">
        <v>34431</v>
      </c>
      <c r="M45">
        <v>0</v>
      </c>
      <c r="N45">
        <v>10000</v>
      </c>
      <c r="O45">
        <v>585066</v>
      </c>
      <c r="P45">
        <v>156274</v>
      </c>
      <c r="Q45">
        <v>2025</v>
      </c>
      <c r="R45">
        <v>4</v>
      </c>
      <c r="S45" s="4" t="s">
        <v>329</v>
      </c>
      <c r="T45">
        <v>21.08</v>
      </c>
    </row>
    <row r="46" spans="1:20" x14ac:dyDescent="0.3">
      <c r="A46" s="4" t="s">
        <v>88</v>
      </c>
      <c r="B46" s="5">
        <v>45772</v>
      </c>
      <c r="C46" s="4" t="s">
        <v>34</v>
      </c>
      <c r="D46" s="4" t="s">
        <v>35</v>
      </c>
      <c r="E46" s="4" t="s">
        <v>36</v>
      </c>
      <c r="F46" s="4" t="s">
        <v>42</v>
      </c>
      <c r="G46">
        <v>4</v>
      </c>
      <c r="H46">
        <v>469696</v>
      </c>
      <c r="I46">
        <v>402095</v>
      </c>
      <c r="J46">
        <v>1878784</v>
      </c>
      <c r="K46">
        <v>1608380</v>
      </c>
      <c r="L46">
        <v>33968</v>
      </c>
      <c r="M46">
        <v>20000</v>
      </c>
      <c r="N46">
        <v>2000</v>
      </c>
      <c r="O46">
        <v>1664348</v>
      </c>
      <c r="P46">
        <v>214436</v>
      </c>
      <c r="Q46">
        <v>2025</v>
      </c>
      <c r="R46">
        <v>4</v>
      </c>
      <c r="S46" s="4" t="s">
        <v>329</v>
      </c>
      <c r="T46">
        <v>11.41</v>
      </c>
    </row>
    <row r="47" spans="1:20" x14ac:dyDescent="0.3">
      <c r="A47" s="4" t="s">
        <v>89</v>
      </c>
      <c r="B47" s="5">
        <v>45774</v>
      </c>
      <c r="C47" s="4" t="s">
        <v>49</v>
      </c>
      <c r="D47" s="4" t="s">
        <v>28</v>
      </c>
      <c r="E47" s="4" t="s">
        <v>29</v>
      </c>
      <c r="F47" s="4" t="s">
        <v>40</v>
      </c>
      <c r="G47">
        <v>2</v>
      </c>
      <c r="H47">
        <v>160467</v>
      </c>
      <c r="I47">
        <v>133202</v>
      </c>
      <c r="J47">
        <v>320934</v>
      </c>
      <c r="K47">
        <v>266404</v>
      </c>
      <c r="L47">
        <v>26181</v>
      </c>
      <c r="M47">
        <v>20000</v>
      </c>
      <c r="N47">
        <v>5000</v>
      </c>
      <c r="O47">
        <v>317585</v>
      </c>
      <c r="P47">
        <v>3349</v>
      </c>
      <c r="Q47">
        <v>2025</v>
      </c>
      <c r="R47">
        <v>4</v>
      </c>
      <c r="S47" s="4" t="s">
        <v>329</v>
      </c>
      <c r="T47">
        <v>1.04</v>
      </c>
    </row>
    <row r="48" spans="1:20" x14ac:dyDescent="0.3">
      <c r="A48" s="4" t="s">
        <v>90</v>
      </c>
      <c r="B48" s="5">
        <v>45778</v>
      </c>
      <c r="C48" s="4" t="s">
        <v>21</v>
      </c>
      <c r="D48" s="4" t="s">
        <v>22</v>
      </c>
      <c r="E48" s="4" t="s">
        <v>23</v>
      </c>
      <c r="F48" s="4" t="s">
        <v>37</v>
      </c>
      <c r="G48">
        <v>8</v>
      </c>
      <c r="H48">
        <v>25694</v>
      </c>
      <c r="I48">
        <v>13749</v>
      </c>
      <c r="J48">
        <v>205552</v>
      </c>
      <c r="K48">
        <v>109992</v>
      </c>
      <c r="L48">
        <v>35142</v>
      </c>
      <c r="M48">
        <v>10000</v>
      </c>
      <c r="N48">
        <v>8000</v>
      </c>
      <c r="O48">
        <v>163134</v>
      </c>
      <c r="P48">
        <v>42418</v>
      </c>
      <c r="Q48">
        <v>2025</v>
      </c>
      <c r="R48">
        <v>5</v>
      </c>
      <c r="S48" s="4" t="s">
        <v>330</v>
      </c>
      <c r="T48">
        <v>20.64</v>
      </c>
    </row>
    <row r="49" spans="1:20" x14ac:dyDescent="0.3">
      <c r="A49" s="4" t="s">
        <v>92</v>
      </c>
      <c r="B49" s="5">
        <v>45783</v>
      </c>
      <c r="C49" s="4" t="s">
        <v>27</v>
      </c>
      <c r="D49" s="4" t="s">
        <v>58</v>
      </c>
      <c r="E49" s="4" t="s">
        <v>29</v>
      </c>
      <c r="F49" s="4" t="s">
        <v>45</v>
      </c>
      <c r="G49">
        <v>8</v>
      </c>
      <c r="H49">
        <v>231401</v>
      </c>
      <c r="I49">
        <v>179982</v>
      </c>
      <c r="J49">
        <v>1851208</v>
      </c>
      <c r="K49">
        <v>1439856</v>
      </c>
      <c r="L49">
        <v>7876</v>
      </c>
      <c r="M49">
        <v>10000</v>
      </c>
      <c r="N49">
        <v>5000</v>
      </c>
      <c r="O49">
        <v>1462732</v>
      </c>
      <c r="P49">
        <v>388476</v>
      </c>
      <c r="Q49">
        <v>2025</v>
      </c>
      <c r="R49">
        <v>5</v>
      </c>
      <c r="S49" s="4" t="s">
        <v>330</v>
      </c>
      <c r="T49">
        <v>20.99</v>
      </c>
    </row>
    <row r="50" spans="1:20" x14ac:dyDescent="0.3">
      <c r="A50" s="4" t="s">
        <v>93</v>
      </c>
      <c r="B50" s="5">
        <v>45784</v>
      </c>
      <c r="C50" s="4" t="s">
        <v>34</v>
      </c>
      <c r="D50" s="4" t="s">
        <v>56</v>
      </c>
      <c r="E50" s="4" t="s">
        <v>36</v>
      </c>
      <c r="F50" s="4" t="s">
        <v>45</v>
      </c>
      <c r="G50">
        <v>11</v>
      </c>
      <c r="H50">
        <v>145758</v>
      </c>
      <c r="I50">
        <v>102778</v>
      </c>
      <c r="J50">
        <v>1603338</v>
      </c>
      <c r="K50">
        <v>1130558</v>
      </c>
      <c r="L50">
        <v>21856</v>
      </c>
      <c r="M50">
        <v>10000</v>
      </c>
      <c r="N50">
        <v>2000</v>
      </c>
      <c r="O50">
        <v>1164414</v>
      </c>
      <c r="P50">
        <v>438924</v>
      </c>
      <c r="Q50">
        <v>2025</v>
      </c>
      <c r="R50">
        <v>5</v>
      </c>
      <c r="S50" s="4" t="s">
        <v>330</v>
      </c>
      <c r="T50">
        <v>27.38</v>
      </c>
    </row>
    <row r="51" spans="1:20" x14ac:dyDescent="0.3">
      <c r="A51" s="4" t="s">
        <v>94</v>
      </c>
      <c r="B51" s="5">
        <v>45787</v>
      </c>
      <c r="C51" s="4" t="s">
        <v>49</v>
      </c>
      <c r="D51" s="4" t="s">
        <v>22</v>
      </c>
      <c r="E51" s="4" t="s">
        <v>23</v>
      </c>
      <c r="F51" s="4" t="s">
        <v>24</v>
      </c>
      <c r="G51">
        <v>2</v>
      </c>
      <c r="H51">
        <v>24165</v>
      </c>
      <c r="I51">
        <v>14184</v>
      </c>
      <c r="J51">
        <v>48330</v>
      </c>
      <c r="K51">
        <v>28368</v>
      </c>
      <c r="L51">
        <v>25476</v>
      </c>
      <c r="M51">
        <v>15000</v>
      </c>
      <c r="N51">
        <v>8000</v>
      </c>
      <c r="O51">
        <v>76844</v>
      </c>
      <c r="P51">
        <v>-28514</v>
      </c>
      <c r="Q51">
        <v>2025</v>
      </c>
      <c r="R51">
        <v>5</v>
      </c>
      <c r="S51" s="4" t="s">
        <v>330</v>
      </c>
      <c r="T51">
        <v>-59</v>
      </c>
    </row>
    <row r="52" spans="1:20" x14ac:dyDescent="0.3">
      <c r="A52" s="4" t="s">
        <v>95</v>
      </c>
      <c r="B52" s="5">
        <v>45787</v>
      </c>
      <c r="C52" s="4" t="s">
        <v>32</v>
      </c>
      <c r="D52" s="4" t="s">
        <v>39</v>
      </c>
      <c r="E52" s="4" t="s">
        <v>23</v>
      </c>
      <c r="F52" s="4" t="s">
        <v>37</v>
      </c>
      <c r="G52">
        <v>6</v>
      </c>
      <c r="H52">
        <v>34932</v>
      </c>
      <c r="I52">
        <v>21969</v>
      </c>
      <c r="J52">
        <v>209592</v>
      </c>
      <c r="K52">
        <v>131814</v>
      </c>
      <c r="L52">
        <v>24284</v>
      </c>
      <c r="M52">
        <v>0</v>
      </c>
      <c r="N52">
        <v>10000</v>
      </c>
      <c r="O52">
        <v>166098</v>
      </c>
      <c r="P52">
        <v>43494</v>
      </c>
      <c r="Q52">
        <v>2025</v>
      </c>
      <c r="R52">
        <v>5</v>
      </c>
      <c r="S52" s="4" t="s">
        <v>330</v>
      </c>
      <c r="T52">
        <v>20.75</v>
      </c>
    </row>
    <row r="53" spans="1:20" x14ac:dyDescent="0.3">
      <c r="A53" s="4" t="s">
        <v>96</v>
      </c>
      <c r="B53" s="5">
        <v>45788</v>
      </c>
      <c r="C53" s="4" t="s">
        <v>32</v>
      </c>
      <c r="D53" s="4" t="s">
        <v>39</v>
      </c>
      <c r="E53" s="4" t="s">
        <v>23</v>
      </c>
      <c r="F53" s="4" t="s">
        <v>45</v>
      </c>
      <c r="G53">
        <v>1</v>
      </c>
      <c r="H53">
        <v>35103</v>
      </c>
      <c r="I53">
        <v>21317</v>
      </c>
      <c r="J53">
        <v>35103</v>
      </c>
      <c r="K53">
        <v>21317</v>
      </c>
      <c r="L53">
        <v>33406</v>
      </c>
      <c r="M53">
        <v>0</v>
      </c>
      <c r="N53">
        <v>2000</v>
      </c>
      <c r="O53">
        <v>56723</v>
      </c>
      <c r="P53">
        <v>-21620</v>
      </c>
      <c r="Q53">
        <v>2025</v>
      </c>
      <c r="R53">
        <v>5</v>
      </c>
      <c r="S53" s="4" t="s">
        <v>330</v>
      </c>
      <c r="T53">
        <v>-61.59</v>
      </c>
    </row>
    <row r="54" spans="1:20" x14ac:dyDescent="0.3">
      <c r="A54" s="4" t="s">
        <v>97</v>
      </c>
      <c r="B54" s="5">
        <v>45795</v>
      </c>
      <c r="C54" s="4" t="s">
        <v>49</v>
      </c>
      <c r="D54" s="4" t="s">
        <v>39</v>
      </c>
      <c r="E54" s="4" t="s">
        <v>23</v>
      </c>
      <c r="F54" s="4" t="s">
        <v>45</v>
      </c>
      <c r="G54">
        <v>5</v>
      </c>
      <c r="H54">
        <v>30799</v>
      </c>
      <c r="I54">
        <v>20210</v>
      </c>
      <c r="J54">
        <v>153995</v>
      </c>
      <c r="K54">
        <v>101050</v>
      </c>
      <c r="L54">
        <v>12905</v>
      </c>
      <c r="M54">
        <v>15000</v>
      </c>
      <c r="N54">
        <v>5000</v>
      </c>
      <c r="O54">
        <v>133955</v>
      </c>
      <c r="P54">
        <v>20040</v>
      </c>
      <c r="Q54">
        <v>2025</v>
      </c>
      <c r="R54">
        <v>5</v>
      </c>
      <c r="S54" s="4" t="s">
        <v>330</v>
      </c>
      <c r="T54">
        <v>13.01</v>
      </c>
    </row>
    <row r="55" spans="1:20" x14ac:dyDescent="0.3">
      <c r="A55" s="4" t="s">
        <v>98</v>
      </c>
      <c r="B55" s="5">
        <v>45798</v>
      </c>
      <c r="C55" s="4" t="s">
        <v>32</v>
      </c>
      <c r="D55" s="4" t="s">
        <v>35</v>
      </c>
      <c r="E55" s="4" t="s">
        <v>36</v>
      </c>
      <c r="F55" s="4" t="s">
        <v>24</v>
      </c>
      <c r="G55">
        <v>15</v>
      </c>
      <c r="H55">
        <v>470280</v>
      </c>
      <c r="I55">
        <v>398509</v>
      </c>
      <c r="J55">
        <v>7054200</v>
      </c>
      <c r="K55">
        <v>5977635</v>
      </c>
      <c r="L55">
        <v>25734</v>
      </c>
      <c r="M55">
        <v>15000</v>
      </c>
      <c r="N55">
        <v>3000</v>
      </c>
      <c r="O55">
        <v>6021369</v>
      </c>
      <c r="P55">
        <v>1032831</v>
      </c>
      <c r="Q55">
        <v>2025</v>
      </c>
      <c r="R55">
        <v>5</v>
      </c>
      <c r="S55" s="4" t="s">
        <v>330</v>
      </c>
      <c r="T55">
        <v>14.64</v>
      </c>
    </row>
    <row r="56" spans="1:20" x14ac:dyDescent="0.3">
      <c r="A56" s="4" t="s">
        <v>99</v>
      </c>
      <c r="B56" s="5">
        <v>45799</v>
      </c>
      <c r="C56" s="4" t="s">
        <v>21</v>
      </c>
      <c r="D56" s="4" t="s">
        <v>39</v>
      </c>
      <c r="E56" s="4" t="s">
        <v>23</v>
      </c>
      <c r="F56" s="4" t="s">
        <v>30</v>
      </c>
      <c r="G56">
        <v>9</v>
      </c>
      <c r="H56">
        <v>33113</v>
      </c>
      <c r="I56">
        <v>21480</v>
      </c>
      <c r="J56">
        <v>298017</v>
      </c>
      <c r="K56">
        <v>193320</v>
      </c>
      <c r="L56">
        <v>27772</v>
      </c>
      <c r="M56">
        <v>15000</v>
      </c>
      <c r="N56">
        <v>5000</v>
      </c>
      <c r="O56">
        <v>241092</v>
      </c>
      <c r="P56">
        <v>56925</v>
      </c>
      <c r="Q56">
        <v>2025</v>
      </c>
      <c r="R56">
        <v>5</v>
      </c>
      <c r="S56" s="4" t="s">
        <v>330</v>
      </c>
      <c r="T56">
        <v>19.100000000000001</v>
      </c>
    </row>
    <row r="57" spans="1:20" x14ac:dyDescent="0.3">
      <c r="A57" s="4" t="s">
        <v>100</v>
      </c>
      <c r="B57" s="5">
        <v>45799</v>
      </c>
      <c r="C57" s="4" t="s">
        <v>27</v>
      </c>
      <c r="D57" s="4" t="s">
        <v>28</v>
      </c>
      <c r="E57" s="4" t="s">
        <v>29</v>
      </c>
      <c r="F57" s="4" t="s">
        <v>24</v>
      </c>
      <c r="G57">
        <v>11</v>
      </c>
      <c r="H57">
        <v>181311</v>
      </c>
      <c r="I57">
        <v>128808</v>
      </c>
      <c r="J57">
        <v>1994421</v>
      </c>
      <c r="K57">
        <v>1416888</v>
      </c>
      <c r="L57">
        <v>8361</v>
      </c>
      <c r="M57">
        <v>20000</v>
      </c>
      <c r="N57">
        <v>2000</v>
      </c>
      <c r="O57">
        <v>1447249</v>
      </c>
      <c r="P57">
        <v>547172</v>
      </c>
      <c r="Q57">
        <v>2025</v>
      </c>
      <c r="R57">
        <v>5</v>
      </c>
      <c r="S57" s="4" t="s">
        <v>330</v>
      </c>
      <c r="T57">
        <v>27.44</v>
      </c>
    </row>
    <row r="58" spans="1:20" x14ac:dyDescent="0.3">
      <c r="A58" s="4" t="s">
        <v>101</v>
      </c>
      <c r="B58" s="5">
        <v>45799</v>
      </c>
      <c r="C58" s="4" t="s">
        <v>21</v>
      </c>
      <c r="D58" s="4" t="s">
        <v>58</v>
      </c>
      <c r="E58" s="4" t="s">
        <v>29</v>
      </c>
      <c r="F58" s="4" t="s">
        <v>24</v>
      </c>
      <c r="G58">
        <v>7</v>
      </c>
      <c r="H58">
        <v>238960</v>
      </c>
      <c r="I58">
        <v>179849</v>
      </c>
      <c r="J58">
        <v>1672720</v>
      </c>
      <c r="K58">
        <v>1258943</v>
      </c>
      <c r="L58">
        <v>8880</v>
      </c>
      <c r="M58">
        <v>15000</v>
      </c>
      <c r="N58">
        <v>8000</v>
      </c>
      <c r="O58">
        <v>1290823</v>
      </c>
      <c r="P58">
        <v>381897</v>
      </c>
      <c r="Q58">
        <v>2025</v>
      </c>
      <c r="R58">
        <v>5</v>
      </c>
      <c r="S58" s="4" t="s">
        <v>330</v>
      </c>
      <c r="T58">
        <v>22.83</v>
      </c>
    </row>
    <row r="59" spans="1:20" x14ac:dyDescent="0.3">
      <c r="A59" s="4" t="s">
        <v>102</v>
      </c>
      <c r="B59" s="5">
        <v>45801</v>
      </c>
      <c r="C59" s="4" t="s">
        <v>32</v>
      </c>
      <c r="D59" s="4" t="s">
        <v>28</v>
      </c>
      <c r="E59" s="4" t="s">
        <v>29</v>
      </c>
      <c r="F59" s="4" t="s">
        <v>24</v>
      </c>
      <c r="G59">
        <v>6</v>
      </c>
      <c r="H59">
        <v>162897</v>
      </c>
      <c r="I59">
        <v>137666</v>
      </c>
      <c r="J59">
        <v>977382</v>
      </c>
      <c r="K59">
        <v>825996</v>
      </c>
      <c r="L59">
        <v>36532</v>
      </c>
      <c r="M59">
        <v>10000</v>
      </c>
      <c r="N59">
        <v>10000</v>
      </c>
      <c r="O59">
        <v>882528</v>
      </c>
      <c r="P59">
        <v>94854</v>
      </c>
      <c r="Q59">
        <v>2025</v>
      </c>
      <c r="R59">
        <v>5</v>
      </c>
      <c r="S59" s="4" t="s">
        <v>330</v>
      </c>
      <c r="T59">
        <v>9.6999999999999993</v>
      </c>
    </row>
    <row r="60" spans="1:20" x14ac:dyDescent="0.3">
      <c r="A60" s="4" t="s">
        <v>103</v>
      </c>
      <c r="B60" s="5">
        <v>45808</v>
      </c>
      <c r="C60" s="4" t="s">
        <v>27</v>
      </c>
      <c r="D60" s="4" t="s">
        <v>35</v>
      </c>
      <c r="E60" s="4" t="s">
        <v>36</v>
      </c>
      <c r="F60" s="4" t="s">
        <v>45</v>
      </c>
      <c r="G60">
        <v>4</v>
      </c>
      <c r="H60">
        <v>560431</v>
      </c>
      <c r="I60">
        <v>396724</v>
      </c>
      <c r="J60">
        <v>2241724</v>
      </c>
      <c r="K60">
        <v>1586896</v>
      </c>
      <c r="L60">
        <v>7386</v>
      </c>
      <c r="M60">
        <v>15000</v>
      </c>
      <c r="N60">
        <v>8000</v>
      </c>
      <c r="O60">
        <v>1617282</v>
      </c>
      <c r="P60">
        <v>624442</v>
      </c>
      <c r="Q60">
        <v>2025</v>
      </c>
      <c r="R60">
        <v>5</v>
      </c>
      <c r="S60" s="4" t="s">
        <v>330</v>
      </c>
      <c r="T60">
        <v>27.86</v>
      </c>
    </row>
    <row r="61" spans="1:20" x14ac:dyDescent="0.3">
      <c r="A61" s="4" t="s">
        <v>104</v>
      </c>
      <c r="B61" s="5">
        <v>45814</v>
      </c>
      <c r="C61" s="4" t="s">
        <v>21</v>
      </c>
      <c r="D61" s="4" t="s">
        <v>58</v>
      </c>
      <c r="E61" s="4" t="s">
        <v>29</v>
      </c>
      <c r="F61" s="4" t="s">
        <v>24</v>
      </c>
      <c r="G61">
        <v>8</v>
      </c>
      <c r="H61">
        <v>238170</v>
      </c>
      <c r="I61">
        <v>177106</v>
      </c>
      <c r="J61">
        <v>1905360</v>
      </c>
      <c r="K61">
        <v>1416848</v>
      </c>
      <c r="L61">
        <v>15178</v>
      </c>
      <c r="M61">
        <v>15000</v>
      </c>
      <c r="N61">
        <v>5000</v>
      </c>
      <c r="O61">
        <v>1452026</v>
      </c>
      <c r="P61">
        <v>453334</v>
      </c>
      <c r="Q61">
        <v>2025</v>
      </c>
      <c r="R61">
        <v>6</v>
      </c>
      <c r="S61" s="4" t="s">
        <v>331</v>
      </c>
      <c r="T61">
        <v>23.79</v>
      </c>
    </row>
    <row r="62" spans="1:20" x14ac:dyDescent="0.3">
      <c r="A62" s="4" t="s">
        <v>106</v>
      </c>
      <c r="B62" s="5">
        <v>45815</v>
      </c>
      <c r="C62" s="4" t="s">
        <v>49</v>
      </c>
      <c r="D62" s="4" t="s">
        <v>22</v>
      </c>
      <c r="E62" s="4" t="s">
        <v>23</v>
      </c>
      <c r="F62" s="4" t="s">
        <v>24</v>
      </c>
      <c r="G62">
        <v>6</v>
      </c>
      <c r="H62">
        <v>22570</v>
      </c>
      <c r="I62">
        <v>14475</v>
      </c>
      <c r="J62">
        <v>135420</v>
      </c>
      <c r="K62">
        <v>86850</v>
      </c>
      <c r="L62">
        <v>29758</v>
      </c>
      <c r="M62">
        <v>5000</v>
      </c>
      <c r="N62">
        <v>10000</v>
      </c>
      <c r="O62">
        <v>131608</v>
      </c>
      <c r="P62">
        <v>3812</v>
      </c>
      <c r="Q62">
        <v>2025</v>
      </c>
      <c r="R62">
        <v>6</v>
      </c>
      <c r="S62" s="4" t="s">
        <v>331</v>
      </c>
      <c r="T62">
        <v>2.81</v>
      </c>
    </row>
    <row r="63" spans="1:20" x14ac:dyDescent="0.3">
      <c r="A63" s="4" t="s">
        <v>107</v>
      </c>
      <c r="B63" s="5">
        <v>45816</v>
      </c>
      <c r="C63" s="4" t="s">
        <v>27</v>
      </c>
      <c r="D63" s="4" t="s">
        <v>56</v>
      </c>
      <c r="E63" s="4" t="s">
        <v>36</v>
      </c>
      <c r="F63" s="4" t="s">
        <v>30</v>
      </c>
      <c r="G63">
        <v>14</v>
      </c>
      <c r="H63">
        <v>151276</v>
      </c>
      <c r="I63">
        <v>104464</v>
      </c>
      <c r="J63">
        <v>2117864</v>
      </c>
      <c r="K63">
        <v>1462496</v>
      </c>
      <c r="L63">
        <v>14166</v>
      </c>
      <c r="M63">
        <v>0</v>
      </c>
      <c r="N63">
        <v>5000</v>
      </c>
      <c r="O63">
        <v>1481662</v>
      </c>
      <c r="P63">
        <v>636202</v>
      </c>
      <c r="Q63">
        <v>2025</v>
      </c>
      <c r="R63">
        <v>6</v>
      </c>
      <c r="S63" s="4" t="s">
        <v>331</v>
      </c>
      <c r="T63">
        <v>30.04</v>
      </c>
    </row>
    <row r="64" spans="1:20" x14ac:dyDescent="0.3">
      <c r="A64" s="4" t="s">
        <v>108</v>
      </c>
      <c r="B64" s="5">
        <v>45820</v>
      </c>
      <c r="C64" s="4" t="s">
        <v>34</v>
      </c>
      <c r="D64" s="4" t="s">
        <v>28</v>
      </c>
      <c r="E64" s="4" t="s">
        <v>29</v>
      </c>
      <c r="F64" s="4" t="s">
        <v>45</v>
      </c>
      <c r="G64">
        <v>15</v>
      </c>
      <c r="H64">
        <v>163986</v>
      </c>
      <c r="I64">
        <v>129345</v>
      </c>
      <c r="J64">
        <v>2459790</v>
      </c>
      <c r="K64">
        <v>1940175</v>
      </c>
      <c r="L64">
        <v>20109</v>
      </c>
      <c r="M64">
        <v>20000</v>
      </c>
      <c r="N64">
        <v>2000</v>
      </c>
      <c r="O64">
        <v>1982284</v>
      </c>
      <c r="P64">
        <v>477506</v>
      </c>
      <c r="Q64">
        <v>2025</v>
      </c>
      <c r="R64">
        <v>6</v>
      </c>
      <c r="S64" s="4" t="s">
        <v>331</v>
      </c>
      <c r="T64">
        <v>19.41</v>
      </c>
    </row>
    <row r="65" spans="1:20" x14ac:dyDescent="0.3">
      <c r="A65" s="4" t="s">
        <v>109</v>
      </c>
      <c r="B65" s="5">
        <v>45824</v>
      </c>
      <c r="C65" s="4" t="s">
        <v>49</v>
      </c>
      <c r="D65" s="4" t="s">
        <v>58</v>
      </c>
      <c r="E65" s="4" t="s">
        <v>29</v>
      </c>
      <c r="F65" s="4" t="s">
        <v>30</v>
      </c>
      <c r="G65">
        <v>1</v>
      </c>
      <c r="H65">
        <v>210780</v>
      </c>
      <c r="I65">
        <v>184046</v>
      </c>
      <c r="J65">
        <v>210780</v>
      </c>
      <c r="K65">
        <v>184046</v>
      </c>
      <c r="L65">
        <v>23114</v>
      </c>
      <c r="M65">
        <v>5000</v>
      </c>
      <c r="N65">
        <v>5000</v>
      </c>
      <c r="O65">
        <v>217160</v>
      </c>
      <c r="P65">
        <v>-6380</v>
      </c>
      <c r="Q65">
        <v>2025</v>
      </c>
      <c r="R65">
        <v>6</v>
      </c>
      <c r="S65" s="4" t="s">
        <v>331</v>
      </c>
      <c r="T65">
        <v>-3.03</v>
      </c>
    </row>
    <row r="66" spans="1:20" x14ac:dyDescent="0.3">
      <c r="A66" s="4" t="s">
        <v>110</v>
      </c>
      <c r="B66" s="5">
        <v>45826</v>
      </c>
      <c r="C66" s="4" t="s">
        <v>49</v>
      </c>
      <c r="D66" s="4" t="s">
        <v>28</v>
      </c>
      <c r="E66" s="4" t="s">
        <v>29</v>
      </c>
      <c r="F66" s="4" t="s">
        <v>30</v>
      </c>
      <c r="G66">
        <v>13</v>
      </c>
      <c r="H66">
        <v>160740</v>
      </c>
      <c r="I66">
        <v>135947</v>
      </c>
      <c r="J66">
        <v>2089620</v>
      </c>
      <c r="K66">
        <v>1767311</v>
      </c>
      <c r="L66">
        <v>10966</v>
      </c>
      <c r="M66">
        <v>15000</v>
      </c>
      <c r="N66">
        <v>2000</v>
      </c>
      <c r="O66">
        <v>1795277</v>
      </c>
      <c r="P66">
        <v>294343</v>
      </c>
      <c r="Q66">
        <v>2025</v>
      </c>
      <c r="R66">
        <v>6</v>
      </c>
      <c r="S66" s="4" t="s">
        <v>331</v>
      </c>
      <c r="T66">
        <v>14.09</v>
      </c>
    </row>
    <row r="67" spans="1:20" x14ac:dyDescent="0.3">
      <c r="A67" s="4" t="s">
        <v>111</v>
      </c>
      <c r="B67" s="5">
        <v>45827</v>
      </c>
      <c r="C67" s="4" t="s">
        <v>32</v>
      </c>
      <c r="D67" s="4" t="s">
        <v>28</v>
      </c>
      <c r="E67" s="4" t="s">
        <v>29</v>
      </c>
      <c r="F67" s="4" t="s">
        <v>45</v>
      </c>
      <c r="G67">
        <v>12</v>
      </c>
      <c r="H67">
        <v>178573</v>
      </c>
      <c r="I67">
        <v>136673</v>
      </c>
      <c r="J67">
        <v>2142876</v>
      </c>
      <c r="K67">
        <v>1640076</v>
      </c>
      <c r="L67">
        <v>24238</v>
      </c>
      <c r="M67">
        <v>0</v>
      </c>
      <c r="N67">
        <v>8000</v>
      </c>
      <c r="O67">
        <v>1672314</v>
      </c>
      <c r="P67">
        <v>470562</v>
      </c>
      <c r="Q67">
        <v>2025</v>
      </c>
      <c r="R67">
        <v>6</v>
      </c>
      <c r="S67" s="4" t="s">
        <v>331</v>
      </c>
      <c r="T67">
        <v>21.96</v>
      </c>
    </row>
    <row r="68" spans="1:20" x14ac:dyDescent="0.3">
      <c r="A68" s="4" t="s">
        <v>112</v>
      </c>
      <c r="B68" s="5">
        <v>45829</v>
      </c>
      <c r="C68" s="4" t="s">
        <v>32</v>
      </c>
      <c r="D68" s="4" t="s">
        <v>39</v>
      </c>
      <c r="E68" s="4" t="s">
        <v>23</v>
      </c>
      <c r="F68" s="4" t="s">
        <v>42</v>
      </c>
      <c r="G68">
        <v>12</v>
      </c>
      <c r="H68">
        <v>34235</v>
      </c>
      <c r="I68">
        <v>21747</v>
      </c>
      <c r="J68">
        <v>410820</v>
      </c>
      <c r="K68">
        <v>260964</v>
      </c>
      <c r="L68">
        <v>12958</v>
      </c>
      <c r="M68">
        <v>10000</v>
      </c>
      <c r="N68">
        <v>2000</v>
      </c>
      <c r="O68">
        <v>285922</v>
      </c>
      <c r="P68">
        <v>124898</v>
      </c>
      <c r="Q68">
        <v>2025</v>
      </c>
      <c r="R68">
        <v>6</v>
      </c>
      <c r="S68" s="4" t="s">
        <v>331</v>
      </c>
      <c r="T68">
        <v>30.4</v>
      </c>
    </row>
    <row r="69" spans="1:20" x14ac:dyDescent="0.3">
      <c r="A69" s="4" t="s">
        <v>113</v>
      </c>
      <c r="B69" s="5">
        <v>45830</v>
      </c>
      <c r="C69" s="4" t="s">
        <v>32</v>
      </c>
      <c r="D69" s="4" t="s">
        <v>35</v>
      </c>
      <c r="E69" s="4" t="s">
        <v>36</v>
      </c>
      <c r="F69" s="4" t="s">
        <v>30</v>
      </c>
      <c r="G69">
        <v>11</v>
      </c>
      <c r="H69">
        <v>467275</v>
      </c>
      <c r="I69">
        <v>392377</v>
      </c>
      <c r="J69">
        <v>5140025</v>
      </c>
      <c r="K69">
        <v>4316147</v>
      </c>
      <c r="L69">
        <v>20560</v>
      </c>
      <c r="M69">
        <v>10000</v>
      </c>
      <c r="N69">
        <v>3000</v>
      </c>
      <c r="O69">
        <v>4349707</v>
      </c>
      <c r="P69">
        <v>790318</v>
      </c>
      <c r="Q69">
        <v>2025</v>
      </c>
      <c r="R69">
        <v>6</v>
      </c>
      <c r="S69" s="4" t="s">
        <v>331</v>
      </c>
      <c r="T69">
        <v>15.38</v>
      </c>
    </row>
    <row r="70" spans="1:20" x14ac:dyDescent="0.3">
      <c r="A70" s="4" t="s">
        <v>114</v>
      </c>
      <c r="B70" s="5">
        <v>45835</v>
      </c>
      <c r="C70" s="4" t="s">
        <v>27</v>
      </c>
      <c r="D70" s="4" t="s">
        <v>39</v>
      </c>
      <c r="E70" s="4" t="s">
        <v>23</v>
      </c>
      <c r="F70" s="4" t="s">
        <v>40</v>
      </c>
      <c r="G70">
        <v>3</v>
      </c>
      <c r="H70">
        <v>32913</v>
      </c>
      <c r="I70">
        <v>20991</v>
      </c>
      <c r="J70">
        <v>98739</v>
      </c>
      <c r="K70">
        <v>62973</v>
      </c>
      <c r="L70">
        <v>24458</v>
      </c>
      <c r="M70">
        <v>15000</v>
      </c>
      <c r="N70">
        <v>5000</v>
      </c>
      <c r="O70">
        <v>107431</v>
      </c>
      <c r="P70">
        <v>-8692</v>
      </c>
      <c r="Q70">
        <v>2025</v>
      </c>
      <c r="R70">
        <v>6</v>
      </c>
      <c r="S70" s="4" t="s">
        <v>331</v>
      </c>
      <c r="T70">
        <v>-8.8000000000000007</v>
      </c>
    </row>
    <row r="71" spans="1:20" x14ac:dyDescent="0.3">
      <c r="A71" s="4" t="s">
        <v>115</v>
      </c>
      <c r="B71" s="5">
        <v>45836</v>
      </c>
      <c r="C71" s="4" t="s">
        <v>27</v>
      </c>
      <c r="D71" s="4" t="s">
        <v>35</v>
      </c>
      <c r="E71" s="4" t="s">
        <v>36</v>
      </c>
      <c r="F71" s="4" t="s">
        <v>40</v>
      </c>
      <c r="G71">
        <v>3</v>
      </c>
      <c r="H71">
        <v>489882</v>
      </c>
      <c r="I71">
        <v>404390</v>
      </c>
      <c r="J71">
        <v>1469646</v>
      </c>
      <c r="K71">
        <v>1213170</v>
      </c>
      <c r="L71">
        <v>12796</v>
      </c>
      <c r="M71">
        <v>20000</v>
      </c>
      <c r="N71">
        <v>5000</v>
      </c>
      <c r="O71">
        <v>1250966</v>
      </c>
      <c r="P71">
        <v>218680</v>
      </c>
      <c r="Q71">
        <v>2025</v>
      </c>
      <c r="R71">
        <v>6</v>
      </c>
      <c r="S71" s="4" t="s">
        <v>331</v>
      </c>
      <c r="T71">
        <v>14.88</v>
      </c>
    </row>
    <row r="72" spans="1:20" x14ac:dyDescent="0.3">
      <c r="A72" s="4" t="s">
        <v>116</v>
      </c>
      <c r="B72" s="5">
        <v>45836</v>
      </c>
      <c r="C72" s="4" t="s">
        <v>27</v>
      </c>
      <c r="D72" s="4" t="s">
        <v>28</v>
      </c>
      <c r="E72" s="4" t="s">
        <v>29</v>
      </c>
      <c r="F72" s="4" t="s">
        <v>37</v>
      </c>
      <c r="G72">
        <v>3</v>
      </c>
      <c r="H72">
        <v>187891</v>
      </c>
      <c r="I72">
        <v>131023</v>
      </c>
      <c r="J72">
        <v>563673</v>
      </c>
      <c r="K72">
        <v>393069</v>
      </c>
      <c r="L72">
        <v>29433</v>
      </c>
      <c r="M72">
        <v>0</v>
      </c>
      <c r="N72">
        <v>8000</v>
      </c>
      <c r="O72">
        <v>430502</v>
      </c>
      <c r="P72">
        <v>133171</v>
      </c>
      <c r="Q72">
        <v>2025</v>
      </c>
      <c r="R72">
        <v>6</v>
      </c>
      <c r="S72" s="4" t="s">
        <v>331</v>
      </c>
      <c r="T72">
        <v>23.63</v>
      </c>
    </row>
    <row r="73" spans="1:20" x14ac:dyDescent="0.3">
      <c r="A73" s="4" t="s">
        <v>117</v>
      </c>
      <c r="B73" s="5">
        <v>45844</v>
      </c>
      <c r="C73" s="4" t="s">
        <v>27</v>
      </c>
      <c r="D73" s="4" t="s">
        <v>58</v>
      </c>
      <c r="E73" s="4" t="s">
        <v>29</v>
      </c>
      <c r="F73" s="4" t="s">
        <v>30</v>
      </c>
      <c r="G73">
        <v>12</v>
      </c>
      <c r="H73">
        <v>251680</v>
      </c>
      <c r="I73">
        <v>175060</v>
      </c>
      <c r="J73">
        <v>3020160</v>
      </c>
      <c r="K73">
        <v>2100720</v>
      </c>
      <c r="L73">
        <v>14615</v>
      </c>
      <c r="M73">
        <v>5000</v>
      </c>
      <c r="N73">
        <v>2000</v>
      </c>
      <c r="O73">
        <v>2122335</v>
      </c>
      <c r="P73">
        <v>897825</v>
      </c>
      <c r="Q73">
        <v>2025</v>
      </c>
      <c r="R73">
        <v>7</v>
      </c>
      <c r="S73" s="4" t="s">
        <v>332</v>
      </c>
      <c r="T73">
        <v>29.73</v>
      </c>
    </row>
    <row r="74" spans="1:20" x14ac:dyDescent="0.3">
      <c r="A74" s="4" t="s">
        <v>119</v>
      </c>
      <c r="B74" s="5">
        <v>45846</v>
      </c>
      <c r="C74" s="4" t="s">
        <v>34</v>
      </c>
      <c r="D74" s="4" t="s">
        <v>35</v>
      </c>
      <c r="E74" s="4" t="s">
        <v>36</v>
      </c>
      <c r="F74" s="4" t="s">
        <v>42</v>
      </c>
      <c r="G74">
        <v>14</v>
      </c>
      <c r="H74">
        <v>486928</v>
      </c>
      <c r="I74">
        <v>405769</v>
      </c>
      <c r="J74">
        <v>6816992</v>
      </c>
      <c r="K74">
        <v>5680766</v>
      </c>
      <c r="L74">
        <v>22662</v>
      </c>
      <c r="M74">
        <v>15000</v>
      </c>
      <c r="N74">
        <v>2000</v>
      </c>
      <c r="O74">
        <v>5720428</v>
      </c>
      <c r="P74">
        <v>1096564</v>
      </c>
      <c r="Q74">
        <v>2025</v>
      </c>
      <c r="R74">
        <v>7</v>
      </c>
      <c r="S74" s="4" t="s">
        <v>332</v>
      </c>
      <c r="T74">
        <v>16.09</v>
      </c>
    </row>
    <row r="75" spans="1:20" x14ac:dyDescent="0.3">
      <c r="A75" s="4" t="s">
        <v>120</v>
      </c>
      <c r="B75" s="5">
        <v>45848</v>
      </c>
      <c r="C75" s="4" t="s">
        <v>34</v>
      </c>
      <c r="D75" s="4" t="s">
        <v>35</v>
      </c>
      <c r="E75" s="4" t="s">
        <v>36</v>
      </c>
      <c r="F75" s="4" t="s">
        <v>45</v>
      </c>
      <c r="G75">
        <v>13</v>
      </c>
      <c r="H75">
        <v>474558</v>
      </c>
      <c r="I75">
        <v>399432</v>
      </c>
      <c r="J75">
        <v>6169254</v>
      </c>
      <c r="K75">
        <v>5192616</v>
      </c>
      <c r="L75">
        <v>14161</v>
      </c>
      <c r="M75">
        <v>5000</v>
      </c>
      <c r="N75">
        <v>10000</v>
      </c>
      <c r="O75">
        <v>5221777</v>
      </c>
      <c r="P75">
        <v>947477</v>
      </c>
      <c r="Q75">
        <v>2025</v>
      </c>
      <c r="R75">
        <v>7</v>
      </c>
      <c r="S75" s="4" t="s">
        <v>332</v>
      </c>
      <c r="T75">
        <v>15.36</v>
      </c>
    </row>
    <row r="76" spans="1:20" x14ac:dyDescent="0.3">
      <c r="A76" s="4" t="s">
        <v>121</v>
      </c>
      <c r="B76" s="5">
        <v>45850</v>
      </c>
      <c r="C76" s="4" t="s">
        <v>32</v>
      </c>
      <c r="D76" s="4" t="s">
        <v>28</v>
      </c>
      <c r="E76" s="4" t="s">
        <v>29</v>
      </c>
      <c r="F76" s="4" t="s">
        <v>45</v>
      </c>
      <c r="G76">
        <v>8</v>
      </c>
      <c r="H76">
        <v>170924</v>
      </c>
      <c r="I76">
        <v>137195</v>
      </c>
      <c r="J76">
        <v>1367392</v>
      </c>
      <c r="K76">
        <v>1097560</v>
      </c>
      <c r="L76">
        <v>24702</v>
      </c>
      <c r="M76">
        <v>0</v>
      </c>
      <c r="N76">
        <v>5000</v>
      </c>
      <c r="O76">
        <v>1127262</v>
      </c>
      <c r="P76">
        <v>240130</v>
      </c>
      <c r="Q76">
        <v>2025</v>
      </c>
      <c r="R76">
        <v>7</v>
      </c>
      <c r="S76" s="4" t="s">
        <v>332</v>
      </c>
      <c r="T76">
        <v>17.559999999999999</v>
      </c>
    </row>
    <row r="77" spans="1:20" x14ac:dyDescent="0.3">
      <c r="A77" s="4" t="s">
        <v>122</v>
      </c>
      <c r="B77" s="5">
        <v>45853</v>
      </c>
      <c r="C77" s="4" t="s">
        <v>34</v>
      </c>
      <c r="D77" s="4" t="s">
        <v>28</v>
      </c>
      <c r="E77" s="4" t="s">
        <v>29</v>
      </c>
      <c r="F77" s="4" t="s">
        <v>24</v>
      </c>
      <c r="G77">
        <v>14</v>
      </c>
      <c r="H77">
        <v>175656</v>
      </c>
      <c r="I77">
        <v>135881</v>
      </c>
      <c r="J77">
        <v>2459184</v>
      </c>
      <c r="K77">
        <v>1902334</v>
      </c>
      <c r="L77">
        <v>19845</v>
      </c>
      <c r="M77">
        <v>10000</v>
      </c>
      <c r="N77">
        <v>2000</v>
      </c>
      <c r="O77">
        <v>1934179</v>
      </c>
      <c r="P77">
        <v>525005</v>
      </c>
      <c r="Q77">
        <v>2025</v>
      </c>
      <c r="R77">
        <v>7</v>
      </c>
      <c r="S77" s="4" t="s">
        <v>332</v>
      </c>
      <c r="T77">
        <v>21.35</v>
      </c>
    </row>
    <row r="78" spans="1:20" x14ac:dyDescent="0.3">
      <c r="A78" s="4" t="s">
        <v>123</v>
      </c>
      <c r="B78" s="5">
        <v>45853</v>
      </c>
      <c r="C78" s="4" t="s">
        <v>21</v>
      </c>
      <c r="D78" s="4" t="s">
        <v>35</v>
      </c>
      <c r="E78" s="4" t="s">
        <v>36</v>
      </c>
      <c r="F78" s="4" t="s">
        <v>37</v>
      </c>
      <c r="G78">
        <v>12</v>
      </c>
      <c r="H78">
        <v>497652</v>
      </c>
      <c r="I78">
        <v>394317</v>
      </c>
      <c r="J78">
        <v>5971824</v>
      </c>
      <c r="K78">
        <v>4731804</v>
      </c>
      <c r="L78">
        <v>16092</v>
      </c>
      <c r="M78">
        <v>15000</v>
      </c>
      <c r="N78">
        <v>8000</v>
      </c>
      <c r="O78">
        <v>4770896</v>
      </c>
      <c r="P78">
        <v>1200928</v>
      </c>
      <c r="Q78">
        <v>2025</v>
      </c>
      <c r="R78">
        <v>7</v>
      </c>
      <c r="S78" s="4" t="s">
        <v>332</v>
      </c>
      <c r="T78">
        <v>20.11</v>
      </c>
    </row>
    <row r="79" spans="1:20" x14ac:dyDescent="0.3">
      <c r="A79" s="4" t="s">
        <v>124</v>
      </c>
      <c r="B79" s="5">
        <v>45854</v>
      </c>
      <c r="C79" s="4" t="s">
        <v>34</v>
      </c>
      <c r="D79" s="4" t="s">
        <v>58</v>
      </c>
      <c r="E79" s="4" t="s">
        <v>29</v>
      </c>
      <c r="F79" s="4" t="s">
        <v>45</v>
      </c>
      <c r="G79">
        <v>9</v>
      </c>
      <c r="H79">
        <v>219136</v>
      </c>
      <c r="I79">
        <v>184374</v>
      </c>
      <c r="J79">
        <v>1972224</v>
      </c>
      <c r="K79">
        <v>1659366</v>
      </c>
      <c r="L79">
        <v>18440</v>
      </c>
      <c r="M79">
        <v>10000</v>
      </c>
      <c r="N79">
        <v>3000</v>
      </c>
      <c r="O79">
        <v>1690806</v>
      </c>
      <c r="P79">
        <v>281418</v>
      </c>
      <c r="Q79">
        <v>2025</v>
      </c>
      <c r="R79">
        <v>7</v>
      </c>
      <c r="S79" s="4" t="s">
        <v>332</v>
      </c>
      <c r="T79">
        <v>14.27</v>
      </c>
    </row>
    <row r="80" spans="1:20" x14ac:dyDescent="0.3">
      <c r="A80" s="4" t="s">
        <v>125</v>
      </c>
      <c r="B80" s="5">
        <v>45860</v>
      </c>
      <c r="C80" s="4" t="s">
        <v>27</v>
      </c>
      <c r="D80" s="4" t="s">
        <v>56</v>
      </c>
      <c r="E80" s="4" t="s">
        <v>36</v>
      </c>
      <c r="F80" s="4" t="s">
        <v>40</v>
      </c>
      <c r="G80">
        <v>9</v>
      </c>
      <c r="H80">
        <v>145721</v>
      </c>
      <c r="I80">
        <v>101471</v>
      </c>
      <c r="J80">
        <v>1311489</v>
      </c>
      <c r="K80">
        <v>913239</v>
      </c>
      <c r="L80">
        <v>13704</v>
      </c>
      <c r="M80">
        <v>5000</v>
      </c>
      <c r="N80">
        <v>2000</v>
      </c>
      <c r="O80">
        <v>933943</v>
      </c>
      <c r="P80">
        <v>377546</v>
      </c>
      <c r="Q80">
        <v>2025</v>
      </c>
      <c r="R80">
        <v>7</v>
      </c>
      <c r="S80" s="4" t="s">
        <v>332</v>
      </c>
      <c r="T80">
        <v>28.79</v>
      </c>
    </row>
    <row r="81" spans="1:20" x14ac:dyDescent="0.3">
      <c r="A81" s="4" t="s">
        <v>126</v>
      </c>
      <c r="B81" s="5">
        <v>45875</v>
      </c>
      <c r="C81" s="4" t="s">
        <v>34</v>
      </c>
      <c r="D81" s="4" t="s">
        <v>28</v>
      </c>
      <c r="E81" s="4" t="s">
        <v>29</v>
      </c>
      <c r="F81" s="4" t="s">
        <v>42</v>
      </c>
      <c r="G81">
        <v>6</v>
      </c>
      <c r="H81">
        <v>163910</v>
      </c>
      <c r="I81">
        <v>132025</v>
      </c>
      <c r="J81">
        <v>983460</v>
      </c>
      <c r="K81">
        <v>792150</v>
      </c>
      <c r="L81">
        <v>17565</v>
      </c>
      <c r="M81">
        <v>20000</v>
      </c>
      <c r="N81">
        <v>2000</v>
      </c>
      <c r="O81">
        <v>831715</v>
      </c>
      <c r="P81">
        <v>151745</v>
      </c>
      <c r="Q81">
        <v>2025</v>
      </c>
      <c r="R81">
        <v>8</v>
      </c>
      <c r="S81" s="4" t="s">
        <v>333</v>
      </c>
      <c r="T81">
        <v>15.43</v>
      </c>
    </row>
    <row r="82" spans="1:20" x14ac:dyDescent="0.3">
      <c r="A82" s="4" t="s">
        <v>128</v>
      </c>
      <c r="B82" s="5">
        <v>45878</v>
      </c>
      <c r="C82" s="4" t="s">
        <v>32</v>
      </c>
      <c r="D82" s="4" t="s">
        <v>58</v>
      </c>
      <c r="E82" s="4" t="s">
        <v>29</v>
      </c>
      <c r="F82" s="4" t="s">
        <v>40</v>
      </c>
      <c r="G82">
        <v>12</v>
      </c>
      <c r="H82">
        <v>231295</v>
      </c>
      <c r="I82">
        <v>174398</v>
      </c>
      <c r="J82">
        <v>2775540</v>
      </c>
      <c r="K82">
        <v>2092776</v>
      </c>
      <c r="L82">
        <v>18050</v>
      </c>
      <c r="M82">
        <v>5000</v>
      </c>
      <c r="N82">
        <v>5000</v>
      </c>
      <c r="O82">
        <v>2120826</v>
      </c>
      <c r="P82">
        <v>654714</v>
      </c>
      <c r="Q82">
        <v>2025</v>
      </c>
      <c r="R82">
        <v>8</v>
      </c>
      <c r="S82" s="4" t="s">
        <v>333</v>
      </c>
      <c r="T82">
        <v>23.59</v>
      </c>
    </row>
    <row r="83" spans="1:20" x14ac:dyDescent="0.3">
      <c r="A83" s="4" t="s">
        <v>129</v>
      </c>
      <c r="B83" s="5">
        <v>45882</v>
      </c>
      <c r="C83" s="4" t="s">
        <v>32</v>
      </c>
      <c r="D83" s="4" t="s">
        <v>58</v>
      </c>
      <c r="E83" s="4" t="s">
        <v>29</v>
      </c>
      <c r="F83" s="4" t="s">
        <v>37</v>
      </c>
      <c r="G83">
        <v>8</v>
      </c>
      <c r="H83">
        <v>213650</v>
      </c>
      <c r="I83">
        <v>171047</v>
      </c>
      <c r="J83">
        <v>1709200</v>
      </c>
      <c r="K83">
        <v>1368376</v>
      </c>
      <c r="L83">
        <v>11220</v>
      </c>
      <c r="M83">
        <v>15000</v>
      </c>
      <c r="N83">
        <v>3000</v>
      </c>
      <c r="O83">
        <v>1397596</v>
      </c>
      <c r="P83">
        <v>311604</v>
      </c>
      <c r="Q83">
        <v>2025</v>
      </c>
      <c r="R83">
        <v>8</v>
      </c>
      <c r="S83" s="4" t="s">
        <v>333</v>
      </c>
      <c r="T83">
        <v>18.23</v>
      </c>
    </row>
    <row r="84" spans="1:20" x14ac:dyDescent="0.3">
      <c r="A84" s="4" t="s">
        <v>130</v>
      </c>
      <c r="B84" s="5">
        <v>45883</v>
      </c>
      <c r="C84" s="4" t="s">
        <v>21</v>
      </c>
      <c r="D84" s="4" t="s">
        <v>56</v>
      </c>
      <c r="E84" s="4" t="s">
        <v>36</v>
      </c>
      <c r="F84" s="4" t="s">
        <v>37</v>
      </c>
      <c r="G84">
        <v>5</v>
      </c>
      <c r="H84">
        <v>144146</v>
      </c>
      <c r="I84">
        <v>100085</v>
      </c>
      <c r="J84">
        <v>720730</v>
      </c>
      <c r="K84">
        <v>500425</v>
      </c>
      <c r="L84">
        <v>20018</v>
      </c>
      <c r="M84">
        <v>15000</v>
      </c>
      <c r="N84">
        <v>3000</v>
      </c>
      <c r="O84">
        <v>538443</v>
      </c>
      <c r="P84">
        <v>182287</v>
      </c>
      <c r="Q84">
        <v>2025</v>
      </c>
      <c r="R84">
        <v>8</v>
      </c>
      <c r="S84" s="4" t="s">
        <v>333</v>
      </c>
      <c r="T84">
        <v>25.29</v>
      </c>
    </row>
    <row r="85" spans="1:20" x14ac:dyDescent="0.3">
      <c r="A85" s="4" t="s">
        <v>131</v>
      </c>
      <c r="B85" s="5">
        <v>45883</v>
      </c>
      <c r="C85" s="4" t="s">
        <v>32</v>
      </c>
      <c r="D85" s="4" t="s">
        <v>56</v>
      </c>
      <c r="E85" s="4" t="s">
        <v>36</v>
      </c>
      <c r="F85" s="4" t="s">
        <v>24</v>
      </c>
      <c r="G85">
        <v>1</v>
      </c>
      <c r="H85">
        <v>132692</v>
      </c>
      <c r="I85">
        <v>103231</v>
      </c>
      <c r="J85">
        <v>132692</v>
      </c>
      <c r="K85">
        <v>103231</v>
      </c>
      <c r="L85">
        <v>14901</v>
      </c>
      <c r="M85">
        <v>5000</v>
      </c>
      <c r="N85">
        <v>5000</v>
      </c>
      <c r="O85">
        <v>128132</v>
      </c>
      <c r="P85">
        <v>4560</v>
      </c>
      <c r="Q85">
        <v>2025</v>
      </c>
      <c r="R85">
        <v>8</v>
      </c>
      <c r="S85" s="4" t="s">
        <v>333</v>
      </c>
      <c r="T85">
        <v>3.44</v>
      </c>
    </row>
    <row r="86" spans="1:20" x14ac:dyDescent="0.3">
      <c r="A86" s="4" t="s">
        <v>132</v>
      </c>
      <c r="B86" s="5">
        <v>45886</v>
      </c>
      <c r="C86" s="4" t="s">
        <v>21</v>
      </c>
      <c r="D86" s="4" t="s">
        <v>35</v>
      </c>
      <c r="E86" s="4" t="s">
        <v>36</v>
      </c>
      <c r="F86" s="4" t="s">
        <v>37</v>
      </c>
      <c r="G86">
        <v>7</v>
      </c>
      <c r="H86">
        <v>492190</v>
      </c>
      <c r="I86">
        <v>407581</v>
      </c>
      <c r="J86">
        <v>3445330</v>
      </c>
      <c r="K86">
        <v>2853067</v>
      </c>
      <c r="L86">
        <v>17682</v>
      </c>
      <c r="M86">
        <v>10000</v>
      </c>
      <c r="N86">
        <v>10000</v>
      </c>
      <c r="O86">
        <v>2890749</v>
      </c>
      <c r="P86">
        <v>554581</v>
      </c>
      <c r="Q86">
        <v>2025</v>
      </c>
      <c r="R86">
        <v>8</v>
      </c>
      <c r="S86" s="4" t="s">
        <v>333</v>
      </c>
      <c r="T86">
        <v>16.100000000000001</v>
      </c>
    </row>
    <row r="87" spans="1:20" x14ac:dyDescent="0.3">
      <c r="A87" s="4" t="s">
        <v>133</v>
      </c>
      <c r="B87" s="5">
        <v>45887</v>
      </c>
      <c r="C87" s="4" t="s">
        <v>27</v>
      </c>
      <c r="D87" s="4" t="s">
        <v>22</v>
      </c>
      <c r="E87" s="4" t="s">
        <v>23</v>
      </c>
      <c r="F87" s="4" t="s">
        <v>40</v>
      </c>
      <c r="G87">
        <v>13</v>
      </c>
      <c r="H87">
        <v>26850</v>
      </c>
      <c r="I87">
        <v>13362</v>
      </c>
      <c r="J87">
        <v>349050</v>
      </c>
      <c r="K87">
        <v>173706</v>
      </c>
      <c r="L87">
        <v>6016</v>
      </c>
      <c r="M87">
        <v>5000</v>
      </c>
      <c r="N87">
        <v>3000</v>
      </c>
      <c r="O87">
        <v>187722</v>
      </c>
      <c r="P87">
        <v>161328</v>
      </c>
      <c r="Q87">
        <v>2025</v>
      </c>
      <c r="R87">
        <v>8</v>
      </c>
      <c r="S87" s="4" t="s">
        <v>333</v>
      </c>
      <c r="T87">
        <v>46.22</v>
      </c>
    </row>
    <row r="88" spans="1:20" x14ac:dyDescent="0.3">
      <c r="A88" s="4" t="s">
        <v>134</v>
      </c>
      <c r="B88" s="5">
        <v>45887</v>
      </c>
      <c r="C88" s="4" t="s">
        <v>21</v>
      </c>
      <c r="D88" s="4" t="s">
        <v>35</v>
      </c>
      <c r="E88" s="4" t="s">
        <v>36</v>
      </c>
      <c r="F88" s="4" t="s">
        <v>42</v>
      </c>
      <c r="G88">
        <v>13</v>
      </c>
      <c r="H88">
        <v>478954</v>
      </c>
      <c r="I88">
        <v>404407</v>
      </c>
      <c r="J88">
        <v>6226402</v>
      </c>
      <c r="K88">
        <v>5257291</v>
      </c>
      <c r="L88">
        <v>7326</v>
      </c>
      <c r="M88">
        <v>10000</v>
      </c>
      <c r="N88">
        <v>10000</v>
      </c>
      <c r="O88">
        <v>5284617</v>
      </c>
      <c r="P88">
        <v>941785</v>
      </c>
      <c r="Q88">
        <v>2025</v>
      </c>
      <c r="R88">
        <v>8</v>
      </c>
      <c r="S88" s="4" t="s">
        <v>333</v>
      </c>
      <c r="T88">
        <v>15.13</v>
      </c>
    </row>
    <row r="89" spans="1:20" x14ac:dyDescent="0.3">
      <c r="A89" s="4" t="s">
        <v>135</v>
      </c>
      <c r="B89" s="5">
        <v>45889</v>
      </c>
      <c r="C89" s="4" t="s">
        <v>21</v>
      </c>
      <c r="D89" s="4" t="s">
        <v>58</v>
      </c>
      <c r="E89" s="4" t="s">
        <v>29</v>
      </c>
      <c r="F89" s="4" t="s">
        <v>40</v>
      </c>
      <c r="G89">
        <v>2</v>
      </c>
      <c r="H89">
        <v>226117</v>
      </c>
      <c r="I89">
        <v>181421</v>
      </c>
      <c r="J89">
        <v>452234</v>
      </c>
      <c r="K89">
        <v>362842</v>
      </c>
      <c r="L89">
        <v>27044</v>
      </c>
      <c r="M89">
        <v>20000</v>
      </c>
      <c r="N89">
        <v>10000</v>
      </c>
      <c r="O89">
        <v>419886</v>
      </c>
      <c r="P89">
        <v>32348</v>
      </c>
      <c r="Q89">
        <v>2025</v>
      </c>
      <c r="R89">
        <v>8</v>
      </c>
      <c r="S89" s="4" t="s">
        <v>333</v>
      </c>
      <c r="T89">
        <v>7.15</v>
      </c>
    </row>
    <row r="90" spans="1:20" x14ac:dyDescent="0.3">
      <c r="A90" s="4" t="s">
        <v>136</v>
      </c>
      <c r="B90" s="5">
        <v>45889</v>
      </c>
      <c r="C90" s="4" t="s">
        <v>49</v>
      </c>
      <c r="D90" s="4" t="s">
        <v>22</v>
      </c>
      <c r="E90" s="4" t="s">
        <v>23</v>
      </c>
      <c r="F90" s="4" t="s">
        <v>42</v>
      </c>
      <c r="G90">
        <v>14</v>
      </c>
      <c r="H90">
        <v>23948</v>
      </c>
      <c r="I90">
        <v>13863</v>
      </c>
      <c r="J90">
        <v>335272</v>
      </c>
      <c r="K90">
        <v>194082</v>
      </c>
      <c r="L90">
        <v>22411</v>
      </c>
      <c r="M90">
        <v>0</v>
      </c>
      <c r="N90">
        <v>5000</v>
      </c>
      <c r="O90">
        <v>221493</v>
      </c>
      <c r="P90">
        <v>113779</v>
      </c>
      <c r="Q90">
        <v>2025</v>
      </c>
      <c r="R90">
        <v>8</v>
      </c>
      <c r="S90" s="4" t="s">
        <v>333</v>
      </c>
      <c r="T90">
        <v>33.94</v>
      </c>
    </row>
    <row r="91" spans="1:20" x14ac:dyDescent="0.3">
      <c r="A91" s="4" t="s">
        <v>137</v>
      </c>
      <c r="B91" s="5">
        <v>45889</v>
      </c>
      <c r="C91" s="4" t="s">
        <v>49</v>
      </c>
      <c r="D91" s="4" t="s">
        <v>39</v>
      </c>
      <c r="E91" s="4" t="s">
        <v>23</v>
      </c>
      <c r="F91" s="4" t="s">
        <v>42</v>
      </c>
      <c r="G91">
        <v>8</v>
      </c>
      <c r="H91">
        <v>33990</v>
      </c>
      <c r="I91">
        <v>20637</v>
      </c>
      <c r="J91">
        <v>271920</v>
      </c>
      <c r="K91">
        <v>165096</v>
      </c>
      <c r="L91">
        <v>30355</v>
      </c>
      <c r="M91">
        <v>15000</v>
      </c>
      <c r="N91">
        <v>5000</v>
      </c>
      <c r="O91">
        <v>215451</v>
      </c>
      <c r="P91">
        <v>56469</v>
      </c>
      <c r="Q91">
        <v>2025</v>
      </c>
      <c r="R91">
        <v>8</v>
      </c>
      <c r="S91" s="4" t="s">
        <v>333</v>
      </c>
      <c r="T91">
        <v>20.77</v>
      </c>
    </row>
    <row r="92" spans="1:20" x14ac:dyDescent="0.3">
      <c r="A92" s="4" t="s">
        <v>138</v>
      </c>
      <c r="B92" s="5">
        <v>45893</v>
      </c>
      <c r="C92" s="4" t="s">
        <v>34</v>
      </c>
      <c r="D92" s="4" t="s">
        <v>39</v>
      </c>
      <c r="E92" s="4" t="s">
        <v>23</v>
      </c>
      <c r="F92" s="4" t="s">
        <v>45</v>
      </c>
      <c r="G92">
        <v>4</v>
      </c>
      <c r="H92">
        <v>33498</v>
      </c>
      <c r="I92">
        <v>21384</v>
      </c>
      <c r="J92">
        <v>133992</v>
      </c>
      <c r="K92">
        <v>85536</v>
      </c>
      <c r="L92">
        <v>34010</v>
      </c>
      <c r="M92">
        <v>5000</v>
      </c>
      <c r="N92">
        <v>2000</v>
      </c>
      <c r="O92">
        <v>126546</v>
      </c>
      <c r="P92">
        <v>7446</v>
      </c>
      <c r="Q92">
        <v>2025</v>
      </c>
      <c r="R92">
        <v>8</v>
      </c>
      <c r="S92" s="4" t="s">
        <v>333</v>
      </c>
      <c r="T92">
        <v>5.56</v>
      </c>
    </row>
    <row r="93" spans="1:20" x14ac:dyDescent="0.3">
      <c r="A93" s="4" t="s">
        <v>139</v>
      </c>
      <c r="B93" s="5">
        <v>45895</v>
      </c>
      <c r="C93" s="4" t="s">
        <v>34</v>
      </c>
      <c r="D93" s="4" t="s">
        <v>28</v>
      </c>
      <c r="E93" s="4" t="s">
        <v>29</v>
      </c>
      <c r="F93" s="4" t="s">
        <v>45</v>
      </c>
      <c r="G93">
        <v>12</v>
      </c>
      <c r="H93">
        <v>177502</v>
      </c>
      <c r="I93">
        <v>124518</v>
      </c>
      <c r="J93">
        <v>2130024</v>
      </c>
      <c r="K93">
        <v>1494216</v>
      </c>
      <c r="L93">
        <v>15810</v>
      </c>
      <c r="M93">
        <v>10000</v>
      </c>
      <c r="N93">
        <v>10000</v>
      </c>
      <c r="O93">
        <v>1530026</v>
      </c>
      <c r="P93">
        <v>599998</v>
      </c>
      <c r="Q93">
        <v>2025</v>
      </c>
      <c r="R93">
        <v>8</v>
      </c>
      <c r="S93" s="4" t="s">
        <v>333</v>
      </c>
      <c r="T93">
        <v>28.17</v>
      </c>
    </row>
    <row r="94" spans="1:20" x14ac:dyDescent="0.3">
      <c r="A94" s="4" t="s">
        <v>140</v>
      </c>
      <c r="B94" s="5">
        <v>45896</v>
      </c>
      <c r="C94" s="4" t="s">
        <v>21</v>
      </c>
      <c r="D94" s="4" t="s">
        <v>28</v>
      </c>
      <c r="E94" s="4" t="s">
        <v>29</v>
      </c>
      <c r="F94" s="4" t="s">
        <v>24</v>
      </c>
      <c r="G94">
        <v>13</v>
      </c>
      <c r="H94">
        <v>184218</v>
      </c>
      <c r="I94">
        <v>123541</v>
      </c>
      <c r="J94">
        <v>2394834</v>
      </c>
      <c r="K94">
        <v>1606033</v>
      </c>
      <c r="L94">
        <v>12176</v>
      </c>
      <c r="M94">
        <v>5000</v>
      </c>
      <c r="N94">
        <v>10000</v>
      </c>
      <c r="O94">
        <v>1633209</v>
      </c>
      <c r="P94">
        <v>761625</v>
      </c>
      <c r="Q94">
        <v>2025</v>
      </c>
      <c r="R94">
        <v>8</v>
      </c>
      <c r="S94" s="4" t="s">
        <v>333</v>
      </c>
      <c r="T94">
        <v>31.8</v>
      </c>
    </row>
    <row r="95" spans="1:20" x14ac:dyDescent="0.3">
      <c r="A95" s="4" t="s">
        <v>141</v>
      </c>
      <c r="B95" s="5">
        <v>45897</v>
      </c>
      <c r="C95" s="4" t="s">
        <v>27</v>
      </c>
      <c r="D95" s="4" t="s">
        <v>56</v>
      </c>
      <c r="E95" s="4" t="s">
        <v>36</v>
      </c>
      <c r="F95" s="4" t="s">
        <v>45</v>
      </c>
      <c r="G95">
        <v>10</v>
      </c>
      <c r="H95">
        <v>159569</v>
      </c>
      <c r="I95">
        <v>106234</v>
      </c>
      <c r="J95">
        <v>1595690</v>
      </c>
      <c r="K95">
        <v>1062340</v>
      </c>
      <c r="L95">
        <v>24991</v>
      </c>
      <c r="M95">
        <v>5000</v>
      </c>
      <c r="N95">
        <v>2000</v>
      </c>
      <c r="O95">
        <v>1094331</v>
      </c>
      <c r="P95">
        <v>501359</v>
      </c>
      <c r="Q95">
        <v>2025</v>
      </c>
      <c r="R95">
        <v>8</v>
      </c>
      <c r="S95" s="4" t="s">
        <v>333</v>
      </c>
      <c r="T95">
        <v>31.42</v>
      </c>
    </row>
    <row r="96" spans="1:20" x14ac:dyDescent="0.3">
      <c r="A96" s="4" t="s">
        <v>142</v>
      </c>
      <c r="B96" s="5">
        <v>45898</v>
      </c>
      <c r="C96" s="4" t="s">
        <v>27</v>
      </c>
      <c r="D96" s="4" t="s">
        <v>56</v>
      </c>
      <c r="E96" s="4" t="s">
        <v>36</v>
      </c>
      <c r="F96" s="4" t="s">
        <v>37</v>
      </c>
      <c r="G96">
        <v>15</v>
      </c>
      <c r="H96">
        <v>152963</v>
      </c>
      <c r="I96">
        <v>106437</v>
      </c>
      <c r="J96">
        <v>2294445</v>
      </c>
      <c r="K96">
        <v>1596555</v>
      </c>
      <c r="L96">
        <v>6302</v>
      </c>
      <c r="M96">
        <v>20000</v>
      </c>
      <c r="N96">
        <v>2000</v>
      </c>
      <c r="O96">
        <v>1624857</v>
      </c>
      <c r="P96">
        <v>669588</v>
      </c>
      <c r="Q96">
        <v>2025</v>
      </c>
      <c r="R96">
        <v>8</v>
      </c>
      <c r="S96" s="4" t="s">
        <v>333</v>
      </c>
      <c r="T96">
        <v>29.18</v>
      </c>
    </row>
    <row r="97" spans="1:20" x14ac:dyDescent="0.3">
      <c r="A97" s="4" t="s">
        <v>143</v>
      </c>
      <c r="B97" s="5">
        <v>45900</v>
      </c>
      <c r="C97" s="4" t="s">
        <v>49</v>
      </c>
      <c r="D97" s="4" t="s">
        <v>58</v>
      </c>
      <c r="E97" s="4" t="s">
        <v>29</v>
      </c>
      <c r="F97" s="4" t="s">
        <v>40</v>
      </c>
      <c r="G97">
        <v>8</v>
      </c>
      <c r="H97">
        <v>220014</v>
      </c>
      <c r="I97">
        <v>182895</v>
      </c>
      <c r="J97">
        <v>1760112</v>
      </c>
      <c r="K97">
        <v>1463160</v>
      </c>
      <c r="L97">
        <v>8651</v>
      </c>
      <c r="M97">
        <v>5000</v>
      </c>
      <c r="N97">
        <v>8000</v>
      </c>
      <c r="O97">
        <v>1484811</v>
      </c>
      <c r="P97">
        <v>275301</v>
      </c>
      <c r="Q97">
        <v>2025</v>
      </c>
      <c r="R97">
        <v>8</v>
      </c>
      <c r="S97" s="4" t="s">
        <v>333</v>
      </c>
      <c r="T97">
        <v>15.64</v>
      </c>
    </row>
    <row r="98" spans="1:20" x14ac:dyDescent="0.3">
      <c r="A98" s="4" t="s">
        <v>144</v>
      </c>
      <c r="B98" s="5">
        <v>45902</v>
      </c>
      <c r="C98" s="4" t="s">
        <v>49</v>
      </c>
      <c r="D98" s="4" t="s">
        <v>28</v>
      </c>
      <c r="E98" s="4" t="s">
        <v>29</v>
      </c>
      <c r="F98" s="4" t="s">
        <v>40</v>
      </c>
      <c r="G98">
        <v>2</v>
      </c>
      <c r="H98">
        <v>170335</v>
      </c>
      <c r="I98">
        <v>126853</v>
      </c>
      <c r="J98">
        <v>340670</v>
      </c>
      <c r="K98">
        <v>253706</v>
      </c>
      <c r="L98">
        <v>20006</v>
      </c>
      <c r="M98">
        <v>10000</v>
      </c>
      <c r="N98">
        <v>10000</v>
      </c>
      <c r="O98">
        <v>293712</v>
      </c>
      <c r="P98">
        <v>46958</v>
      </c>
      <c r="Q98">
        <v>2025</v>
      </c>
      <c r="R98">
        <v>9</v>
      </c>
      <c r="S98" s="4" t="s">
        <v>334</v>
      </c>
      <c r="T98">
        <v>13.78</v>
      </c>
    </row>
    <row r="99" spans="1:20" x14ac:dyDescent="0.3">
      <c r="A99" s="4" t="s">
        <v>146</v>
      </c>
      <c r="B99" s="5">
        <v>45903</v>
      </c>
      <c r="C99" s="4" t="s">
        <v>21</v>
      </c>
      <c r="D99" s="4" t="s">
        <v>22</v>
      </c>
      <c r="E99" s="4" t="s">
        <v>23</v>
      </c>
      <c r="F99" s="4" t="s">
        <v>37</v>
      </c>
      <c r="G99">
        <v>5</v>
      </c>
      <c r="H99">
        <v>24411</v>
      </c>
      <c r="I99">
        <v>14150</v>
      </c>
      <c r="J99">
        <v>122055</v>
      </c>
      <c r="K99">
        <v>70750</v>
      </c>
      <c r="L99">
        <v>10068</v>
      </c>
      <c r="M99">
        <v>5000</v>
      </c>
      <c r="N99">
        <v>2000</v>
      </c>
      <c r="O99">
        <v>87818</v>
      </c>
      <c r="P99">
        <v>34237</v>
      </c>
      <c r="Q99">
        <v>2025</v>
      </c>
      <c r="R99">
        <v>9</v>
      </c>
      <c r="S99" s="4" t="s">
        <v>334</v>
      </c>
      <c r="T99">
        <v>28.05</v>
      </c>
    </row>
    <row r="100" spans="1:20" x14ac:dyDescent="0.3">
      <c r="A100" s="4" t="s">
        <v>147</v>
      </c>
      <c r="B100" s="5">
        <v>45904</v>
      </c>
      <c r="C100" s="4" t="s">
        <v>49</v>
      </c>
      <c r="D100" s="4" t="s">
        <v>39</v>
      </c>
      <c r="E100" s="4" t="s">
        <v>23</v>
      </c>
      <c r="F100" s="4" t="s">
        <v>42</v>
      </c>
      <c r="G100">
        <v>3</v>
      </c>
      <c r="H100">
        <v>32901</v>
      </c>
      <c r="I100">
        <v>20148</v>
      </c>
      <c r="J100">
        <v>98703</v>
      </c>
      <c r="K100">
        <v>60444</v>
      </c>
      <c r="L100">
        <v>21020</v>
      </c>
      <c r="M100">
        <v>0</v>
      </c>
      <c r="N100">
        <v>10000</v>
      </c>
      <c r="O100">
        <v>91464</v>
      </c>
      <c r="P100">
        <v>7239</v>
      </c>
      <c r="Q100">
        <v>2025</v>
      </c>
      <c r="R100">
        <v>9</v>
      </c>
      <c r="S100" s="4" t="s">
        <v>334</v>
      </c>
      <c r="T100">
        <v>7.33</v>
      </c>
    </row>
    <row r="101" spans="1:20" x14ac:dyDescent="0.3">
      <c r="A101" s="4" t="s">
        <v>148</v>
      </c>
      <c r="B101" s="5">
        <v>45904</v>
      </c>
      <c r="C101" s="4" t="s">
        <v>27</v>
      </c>
      <c r="D101" s="4" t="s">
        <v>39</v>
      </c>
      <c r="E101" s="4" t="s">
        <v>23</v>
      </c>
      <c r="F101" s="4" t="s">
        <v>30</v>
      </c>
      <c r="G101">
        <v>2</v>
      </c>
      <c r="H101">
        <v>36486</v>
      </c>
      <c r="I101">
        <v>21835</v>
      </c>
      <c r="J101">
        <v>72972</v>
      </c>
      <c r="K101">
        <v>43670</v>
      </c>
      <c r="L101">
        <v>29923</v>
      </c>
      <c r="M101">
        <v>20000</v>
      </c>
      <c r="N101">
        <v>3000</v>
      </c>
      <c r="O101">
        <v>96593</v>
      </c>
      <c r="P101">
        <v>-23621</v>
      </c>
      <c r="Q101">
        <v>2025</v>
      </c>
      <c r="R101">
        <v>9</v>
      </c>
      <c r="S101" s="4" t="s">
        <v>334</v>
      </c>
      <c r="T101">
        <v>-32.369999999999997</v>
      </c>
    </row>
    <row r="102" spans="1:20" x14ac:dyDescent="0.3">
      <c r="A102" s="4" t="s">
        <v>149</v>
      </c>
      <c r="B102" s="5">
        <v>45906</v>
      </c>
      <c r="C102" s="4" t="s">
        <v>34</v>
      </c>
      <c r="D102" s="4" t="s">
        <v>35</v>
      </c>
      <c r="E102" s="4" t="s">
        <v>36</v>
      </c>
      <c r="F102" s="4" t="s">
        <v>42</v>
      </c>
      <c r="G102">
        <v>14</v>
      </c>
      <c r="H102">
        <v>500911</v>
      </c>
      <c r="I102">
        <v>405057</v>
      </c>
      <c r="J102">
        <v>7012754</v>
      </c>
      <c r="K102">
        <v>5670798</v>
      </c>
      <c r="L102">
        <v>29430</v>
      </c>
      <c r="M102">
        <v>0</v>
      </c>
      <c r="N102">
        <v>5000</v>
      </c>
      <c r="O102">
        <v>5705228</v>
      </c>
      <c r="P102">
        <v>1307526</v>
      </c>
      <c r="Q102">
        <v>2025</v>
      </c>
      <c r="R102">
        <v>9</v>
      </c>
      <c r="S102" s="4" t="s">
        <v>334</v>
      </c>
      <c r="T102">
        <v>18.64</v>
      </c>
    </row>
    <row r="103" spans="1:20" x14ac:dyDescent="0.3">
      <c r="A103" s="4" t="s">
        <v>150</v>
      </c>
      <c r="B103" s="5">
        <v>45907</v>
      </c>
      <c r="C103" s="4" t="s">
        <v>32</v>
      </c>
      <c r="D103" s="4" t="s">
        <v>56</v>
      </c>
      <c r="E103" s="4" t="s">
        <v>36</v>
      </c>
      <c r="F103" s="4" t="s">
        <v>37</v>
      </c>
      <c r="G103">
        <v>10</v>
      </c>
      <c r="H103">
        <v>145730</v>
      </c>
      <c r="I103">
        <v>103635</v>
      </c>
      <c r="J103">
        <v>1457300</v>
      </c>
      <c r="K103">
        <v>1036350</v>
      </c>
      <c r="L103">
        <v>26496</v>
      </c>
      <c r="M103">
        <v>10000</v>
      </c>
      <c r="N103">
        <v>3000</v>
      </c>
      <c r="O103">
        <v>1075846</v>
      </c>
      <c r="P103">
        <v>381454</v>
      </c>
      <c r="Q103">
        <v>2025</v>
      </c>
      <c r="R103">
        <v>9</v>
      </c>
      <c r="S103" s="4" t="s">
        <v>334</v>
      </c>
      <c r="T103">
        <v>26.18</v>
      </c>
    </row>
    <row r="104" spans="1:20" x14ac:dyDescent="0.3">
      <c r="A104" s="4" t="s">
        <v>151</v>
      </c>
      <c r="B104" s="5">
        <v>45912</v>
      </c>
      <c r="C104" s="4" t="s">
        <v>34</v>
      </c>
      <c r="D104" s="4" t="s">
        <v>35</v>
      </c>
      <c r="E104" s="4" t="s">
        <v>36</v>
      </c>
      <c r="F104" s="4" t="s">
        <v>45</v>
      </c>
      <c r="G104">
        <v>7</v>
      </c>
      <c r="H104">
        <v>470530</v>
      </c>
      <c r="I104">
        <v>402836</v>
      </c>
      <c r="J104">
        <v>3293710</v>
      </c>
      <c r="K104">
        <v>2819852</v>
      </c>
      <c r="L104">
        <v>19751</v>
      </c>
      <c r="M104">
        <v>10000</v>
      </c>
      <c r="N104">
        <v>10000</v>
      </c>
      <c r="O104">
        <v>2859603</v>
      </c>
      <c r="P104">
        <v>434107</v>
      </c>
      <c r="Q104">
        <v>2025</v>
      </c>
      <c r="R104">
        <v>9</v>
      </c>
      <c r="S104" s="4" t="s">
        <v>334</v>
      </c>
      <c r="T104">
        <v>13.18</v>
      </c>
    </row>
    <row r="105" spans="1:20" x14ac:dyDescent="0.3">
      <c r="A105" s="4" t="s">
        <v>152</v>
      </c>
      <c r="B105" s="5">
        <v>45913</v>
      </c>
      <c r="C105" s="4" t="s">
        <v>27</v>
      </c>
      <c r="D105" s="4" t="s">
        <v>22</v>
      </c>
      <c r="E105" s="4" t="s">
        <v>23</v>
      </c>
      <c r="F105" s="4" t="s">
        <v>30</v>
      </c>
      <c r="G105">
        <v>6</v>
      </c>
      <c r="H105">
        <v>26230</v>
      </c>
      <c r="I105">
        <v>14662</v>
      </c>
      <c r="J105">
        <v>157380</v>
      </c>
      <c r="K105">
        <v>87972</v>
      </c>
      <c r="L105">
        <v>18316</v>
      </c>
      <c r="M105">
        <v>20000</v>
      </c>
      <c r="N105">
        <v>3000</v>
      </c>
      <c r="O105">
        <v>129288</v>
      </c>
      <c r="P105">
        <v>28092</v>
      </c>
      <c r="Q105">
        <v>2025</v>
      </c>
      <c r="R105">
        <v>9</v>
      </c>
      <c r="S105" s="4" t="s">
        <v>334</v>
      </c>
      <c r="T105">
        <v>17.850000000000001</v>
      </c>
    </row>
    <row r="106" spans="1:20" x14ac:dyDescent="0.3">
      <c r="A106" s="4" t="s">
        <v>153</v>
      </c>
      <c r="B106" s="5">
        <v>45913</v>
      </c>
      <c r="C106" s="4" t="s">
        <v>49</v>
      </c>
      <c r="D106" s="4" t="s">
        <v>35</v>
      </c>
      <c r="E106" s="4" t="s">
        <v>36</v>
      </c>
      <c r="F106" s="4" t="s">
        <v>40</v>
      </c>
      <c r="G106">
        <v>13</v>
      </c>
      <c r="H106">
        <v>501871</v>
      </c>
      <c r="I106">
        <v>394109</v>
      </c>
      <c r="J106">
        <v>6524323</v>
      </c>
      <c r="K106">
        <v>5123417</v>
      </c>
      <c r="L106">
        <v>8321</v>
      </c>
      <c r="M106">
        <v>20000</v>
      </c>
      <c r="N106">
        <v>2000</v>
      </c>
      <c r="O106">
        <v>5153738</v>
      </c>
      <c r="P106">
        <v>1370585</v>
      </c>
      <c r="Q106">
        <v>2025</v>
      </c>
      <c r="R106">
        <v>9</v>
      </c>
      <c r="S106" s="4" t="s">
        <v>334</v>
      </c>
      <c r="T106">
        <v>21.01</v>
      </c>
    </row>
    <row r="107" spans="1:20" x14ac:dyDescent="0.3">
      <c r="A107" s="4" t="s">
        <v>154</v>
      </c>
      <c r="B107" s="5">
        <v>45915</v>
      </c>
      <c r="C107" s="4" t="s">
        <v>27</v>
      </c>
      <c r="D107" s="4" t="s">
        <v>58</v>
      </c>
      <c r="E107" s="4" t="s">
        <v>29</v>
      </c>
      <c r="F107" s="4" t="s">
        <v>30</v>
      </c>
      <c r="G107">
        <v>12</v>
      </c>
      <c r="H107">
        <v>232071</v>
      </c>
      <c r="I107">
        <v>168551</v>
      </c>
      <c r="J107">
        <v>2784852</v>
      </c>
      <c r="K107">
        <v>2022612</v>
      </c>
      <c r="L107">
        <v>22559</v>
      </c>
      <c r="M107">
        <v>5000</v>
      </c>
      <c r="N107">
        <v>3000</v>
      </c>
      <c r="O107">
        <v>2053171</v>
      </c>
      <c r="P107">
        <v>731681</v>
      </c>
      <c r="Q107">
        <v>2025</v>
      </c>
      <c r="R107">
        <v>9</v>
      </c>
      <c r="S107" s="4" t="s">
        <v>334</v>
      </c>
      <c r="T107">
        <v>26.27</v>
      </c>
    </row>
    <row r="108" spans="1:20" x14ac:dyDescent="0.3">
      <c r="A108" s="4" t="s">
        <v>155</v>
      </c>
      <c r="B108" s="5">
        <v>45918</v>
      </c>
      <c r="C108" s="4" t="s">
        <v>34</v>
      </c>
      <c r="D108" s="4" t="s">
        <v>56</v>
      </c>
      <c r="E108" s="4" t="s">
        <v>36</v>
      </c>
      <c r="F108" s="4" t="s">
        <v>40</v>
      </c>
      <c r="G108">
        <v>11</v>
      </c>
      <c r="H108">
        <v>131314</v>
      </c>
      <c r="I108">
        <v>109044</v>
      </c>
      <c r="J108">
        <v>1444454</v>
      </c>
      <c r="K108">
        <v>1199484</v>
      </c>
      <c r="L108">
        <v>18031</v>
      </c>
      <c r="M108">
        <v>20000</v>
      </c>
      <c r="N108">
        <v>3000</v>
      </c>
      <c r="O108">
        <v>1240515</v>
      </c>
      <c r="P108">
        <v>203939</v>
      </c>
      <c r="Q108">
        <v>2025</v>
      </c>
      <c r="R108">
        <v>9</v>
      </c>
      <c r="S108" s="4" t="s">
        <v>334</v>
      </c>
      <c r="T108">
        <v>14.12</v>
      </c>
    </row>
    <row r="109" spans="1:20" x14ac:dyDescent="0.3">
      <c r="A109" s="4" t="s">
        <v>156</v>
      </c>
      <c r="B109" s="5">
        <v>45928</v>
      </c>
      <c r="C109" s="4" t="s">
        <v>49</v>
      </c>
      <c r="D109" s="4" t="s">
        <v>35</v>
      </c>
      <c r="E109" s="4" t="s">
        <v>36</v>
      </c>
      <c r="F109" s="4" t="s">
        <v>45</v>
      </c>
      <c r="G109">
        <v>9</v>
      </c>
      <c r="H109">
        <v>453077</v>
      </c>
      <c r="I109">
        <v>410066</v>
      </c>
      <c r="J109">
        <v>4077693</v>
      </c>
      <c r="K109">
        <v>3690594</v>
      </c>
      <c r="L109">
        <v>9478</v>
      </c>
      <c r="M109">
        <v>20000</v>
      </c>
      <c r="N109">
        <v>5000</v>
      </c>
      <c r="O109">
        <v>3725072</v>
      </c>
      <c r="P109">
        <v>352621</v>
      </c>
      <c r="Q109">
        <v>2025</v>
      </c>
      <c r="R109">
        <v>9</v>
      </c>
      <c r="S109" s="4" t="s">
        <v>334</v>
      </c>
      <c r="T109">
        <v>8.65</v>
      </c>
    </row>
    <row r="110" spans="1:20" x14ac:dyDescent="0.3">
      <c r="A110" s="4" t="s">
        <v>157</v>
      </c>
      <c r="B110" s="5">
        <v>45929</v>
      </c>
      <c r="C110" s="4" t="s">
        <v>32</v>
      </c>
      <c r="D110" s="4" t="s">
        <v>22</v>
      </c>
      <c r="E110" s="4" t="s">
        <v>23</v>
      </c>
      <c r="F110" s="4" t="s">
        <v>45</v>
      </c>
      <c r="G110">
        <v>10</v>
      </c>
      <c r="H110">
        <v>22839</v>
      </c>
      <c r="I110">
        <v>13379</v>
      </c>
      <c r="J110">
        <v>228390</v>
      </c>
      <c r="K110">
        <v>133790</v>
      </c>
      <c r="L110">
        <v>25929</v>
      </c>
      <c r="M110">
        <v>5000</v>
      </c>
      <c r="N110">
        <v>10000</v>
      </c>
      <c r="O110">
        <v>174719</v>
      </c>
      <c r="P110">
        <v>53671</v>
      </c>
      <c r="Q110">
        <v>2025</v>
      </c>
      <c r="R110">
        <v>9</v>
      </c>
      <c r="S110" s="4" t="s">
        <v>334</v>
      </c>
      <c r="T110">
        <v>23.5</v>
      </c>
    </row>
    <row r="111" spans="1:20" x14ac:dyDescent="0.3">
      <c r="A111" s="4" t="s">
        <v>158</v>
      </c>
      <c r="B111" s="5">
        <v>45931</v>
      </c>
      <c r="C111" s="4" t="s">
        <v>21</v>
      </c>
      <c r="D111" s="4" t="s">
        <v>39</v>
      </c>
      <c r="E111" s="4" t="s">
        <v>23</v>
      </c>
      <c r="F111" s="4" t="s">
        <v>45</v>
      </c>
      <c r="G111">
        <v>15</v>
      </c>
      <c r="H111">
        <v>32939</v>
      </c>
      <c r="I111">
        <v>21985</v>
      </c>
      <c r="J111">
        <v>494085</v>
      </c>
      <c r="K111">
        <v>329775</v>
      </c>
      <c r="L111">
        <v>26104</v>
      </c>
      <c r="M111">
        <v>0</v>
      </c>
      <c r="N111">
        <v>2000</v>
      </c>
      <c r="O111">
        <v>357879</v>
      </c>
      <c r="P111">
        <v>136206</v>
      </c>
      <c r="Q111">
        <v>2025</v>
      </c>
      <c r="R111">
        <v>10</v>
      </c>
      <c r="S111" s="4" t="s">
        <v>335</v>
      </c>
      <c r="T111">
        <v>27.57</v>
      </c>
    </row>
    <row r="112" spans="1:20" x14ac:dyDescent="0.3">
      <c r="A112" s="4" t="s">
        <v>160</v>
      </c>
      <c r="B112" s="5">
        <v>45933</v>
      </c>
      <c r="C112" s="4" t="s">
        <v>27</v>
      </c>
      <c r="D112" s="4" t="s">
        <v>39</v>
      </c>
      <c r="E112" s="4" t="s">
        <v>23</v>
      </c>
      <c r="F112" s="4" t="s">
        <v>30</v>
      </c>
      <c r="G112">
        <v>13</v>
      </c>
      <c r="H112">
        <v>36606</v>
      </c>
      <c r="I112">
        <v>21037</v>
      </c>
      <c r="J112">
        <v>475878</v>
      </c>
      <c r="K112">
        <v>273481</v>
      </c>
      <c r="L112">
        <v>26348</v>
      </c>
      <c r="M112">
        <v>15000</v>
      </c>
      <c r="N112">
        <v>5000</v>
      </c>
      <c r="O112">
        <v>319829</v>
      </c>
      <c r="P112">
        <v>156049</v>
      </c>
      <c r="Q112">
        <v>2025</v>
      </c>
      <c r="R112">
        <v>10</v>
      </c>
      <c r="S112" s="4" t="s">
        <v>335</v>
      </c>
      <c r="T112">
        <v>32.79</v>
      </c>
    </row>
    <row r="113" spans="1:20" x14ac:dyDescent="0.3">
      <c r="A113" s="4" t="s">
        <v>161</v>
      </c>
      <c r="B113" s="5">
        <v>45940</v>
      </c>
      <c r="C113" s="4" t="s">
        <v>34</v>
      </c>
      <c r="D113" s="4" t="s">
        <v>56</v>
      </c>
      <c r="E113" s="4" t="s">
        <v>36</v>
      </c>
      <c r="F113" s="4" t="s">
        <v>42</v>
      </c>
      <c r="G113">
        <v>15</v>
      </c>
      <c r="H113">
        <v>146514</v>
      </c>
      <c r="I113">
        <v>102836</v>
      </c>
      <c r="J113">
        <v>2197710</v>
      </c>
      <c r="K113">
        <v>1542540</v>
      </c>
      <c r="L113">
        <v>6355</v>
      </c>
      <c r="M113">
        <v>10000</v>
      </c>
      <c r="N113">
        <v>5000</v>
      </c>
      <c r="O113">
        <v>1563895</v>
      </c>
      <c r="P113">
        <v>633815</v>
      </c>
      <c r="Q113">
        <v>2025</v>
      </c>
      <c r="R113">
        <v>10</v>
      </c>
      <c r="S113" s="4" t="s">
        <v>335</v>
      </c>
      <c r="T113">
        <v>28.84</v>
      </c>
    </row>
    <row r="114" spans="1:20" x14ac:dyDescent="0.3">
      <c r="A114" s="4" t="s">
        <v>162</v>
      </c>
      <c r="B114" s="5">
        <v>45942</v>
      </c>
      <c r="C114" s="4" t="s">
        <v>21</v>
      </c>
      <c r="D114" s="4" t="s">
        <v>58</v>
      </c>
      <c r="E114" s="4" t="s">
        <v>29</v>
      </c>
      <c r="F114" s="4" t="s">
        <v>42</v>
      </c>
      <c r="G114">
        <v>13</v>
      </c>
      <c r="H114">
        <v>227433</v>
      </c>
      <c r="I114">
        <v>168035</v>
      </c>
      <c r="J114">
        <v>2956629</v>
      </c>
      <c r="K114">
        <v>2184455</v>
      </c>
      <c r="L114">
        <v>10211</v>
      </c>
      <c r="M114">
        <v>10000</v>
      </c>
      <c r="N114">
        <v>5000</v>
      </c>
      <c r="O114">
        <v>2209666</v>
      </c>
      <c r="P114">
        <v>746963</v>
      </c>
      <c r="Q114">
        <v>2025</v>
      </c>
      <c r="R114">
        <v>10</v>
      </c>
      <c r="S114" s="4" t="s">
        <v>335</v>
      </c>
      <c r="T114">
        <v>25.26</v>
      </c>
    </row>
    <row r="115" spans="1:20" x14ac:dyDescent="0.3">
      <c r="A115" s="4" t="s">
        <v>163</v>
      </c>
      <c r="B115" s="5">
        <v>45946</v>
      </c>
      <c r="C115" s="4" t="s">
        <v>21</v>
      </c>
      <c r="D115" s="4" t="s">
        <v>39</v>
      </c>
      <c r="E115" s="4" t="s">
        <v>23</v>
      </c>
      <c r="F115" s="4" t="s">
        <v>24</v>
      </c>
      <c r="G115">
        <v>12</v>
      </c>
      <c r="H115">
        <v>33197</v>
      </c>
      <c r="I115">
        <v>21538</v>
      </c>
      <c r="J115">
        <v>398364</v>
      </c>
      <c r="K115">
        <v>258456</v>
      </c>
      <c r="L115">
        <v>17062</v>
      </c>
      <c r="M115">
        <v>20000</v>
      </c>
      <c r="N115">
        <v>8000</v>
      </c>
      <c r="O115">
        <v>303518</v>
      </c>
      <c r="P115">
        <v>94846</v>
      </c>
      <c r="Q115">
        <v>2025</v>
      </c>
      <c r="R115">
        <v>10</v>
      </c>
      <c r="S115" s="4" t="s">
        <v>335</v>
      </c>
      <c r="T115">
        <v>23.81</v>
      </c>
    </row>
    <row r="116" spans="1:20" x14ac:dyDescent="0.3">
      <c r="A116" s="4" t="s">
        <v>164</v>
      </c>
      <c r="B116" s="5">
        <v>45948</v>
      </c>
      <c r="C116" s="4" t="s">
        <v>34</v>
      </c>
      <c r="D116" s="4" t="s">
        <v>35</v>
      </c>
      <c r="E116" s="4" t="s">
        <v>36</v>
      </c>
      <c r="F116" s="4" t="s">
        <v>42</v>
      </c>
      <c r="G116">
        <v>4</v>
      </c>
      <c r="H116">
        <v>497580</v>
      </c>
      <c r="I116">
        <v>394131</v>
      </c>
      <c r="J116">
        <v>1990320</v>
      </c>
      <c r="K116">
        <v>1576524</v>
      </c>
      <c r="L116">
        <v>11376</v>
      </c>
      <c r="M116">
        <v>10000</v>
      </c>
      <c r="N116">
        <v>10000</v>
      </c>
      <c r="O116">
        <v>1607900</v>
      </c>
      <c r="P116">
        <v>382420</v>
      </c>
      <c r="Q116">
        <v>2025</v>
      </c>
      <c r="R116">
        <v>10</v>
      </c>
      <c r="S116" s="4" t="s">
        <v>335</v>
      </c>
      <c r="T116">
        <v>19.21</v>
      </c>
    </row>
    <row r="117" spans="1:20" x14ac:dyDescent="0.3">
      <c r="A117" s="4" t="s">
        <v>165</v>
      </c>
      <c r="B117" s="5">
        <v>45949</v>
      </c>
      <c r="C117" s="4" t="s">
        <v>49</v>
      </c>
      <c r="D117" s="4" t="s">
        <v>58</v>
      </c>
      <c r="E117" s="4" t="s">
        <v>29</v>
      </c>
      <c r="F117" s="4" t="s">
        <v>45</v>
      </c>
      <c r="G117">
        <v>14</v>
      </c>
      <c r="H117">
        <v>221905</v>
      </c>
      <c r="I117">
        <v>172073</v>
      </c>
      <c r="J117">
        <v>3106670</v>
      </c>
      <c r="K117">
        <v>2409022</v>
      </c>
      <c r="L117">
        <v>33036</v>
      </c>
      <c r="M117">
        <v>20000</v>
      </c>
      <c r="N117">
        <v>2000</v>
      </c>
      <c r="O117">
        <v>2464058</v>
      </c>
      <c r="P117">
        <v>642612</v>
      </c>
      <c r="Q117">
        <v>2025</v>
      </c>
      <c r="R117">
        <v>10</v>
      </c>
      <c r="S117" s="4" t="s">
        <v>335</v>
      </c>
      <c r="T117">
        <v>20.68</v>
      </c>
    </row>
    <row r="118" spans="1:20" x14ac:dyDescent="0.3">
      <c r="A118" s="4" t="s">
        <v>166</v>
      </c>
      <c r="B118" s="5">
        <v>45952</v>
      </c>
      <c r="C118" s="4" t="s">
        <v>27</v>
      </c>
      <c r="D118" s="4" t="s">
        <v>22</v>
      </c>
      <c r="E118" s="4" t="s">
        <v>23</v>
      </c>
      <c r="F118" s="4" t="s">
        <v>30</v>
      </c>
      <c r="G118">
        <v>6</v>
      </c>
      <c r="H118">
        <v>26734</v>
      </c>
      <c r="I118">
        <v>14310</v>
      </c>
      <c r="J118">
        <v>160404</v>
      </c>
      <c r="K118">
        <v>85860</v>
      </c>
      <c r="L118">
        <v>29488</v>
      </c>
      <c r="M118">
        <v>15000</v>
      </c>
      <c r="N118">
        <v>3000</v>
      </c>
      <c r="O118">
        <v>133348</v>
      </c>
      <c r="P118">
        <v>27056</v>
      </c>
      <c r="Q118">
        <v>2025</v>
      </c>
      <c r="R118">
        <v>10</v>
      </c>
      <c r="S118" s="4" t="s">
        <v>335</v>
      </c>
      <c r="T118">
        <v>16.87</v>
      </c>
    </row>
    <row r="119" spans="1:20" x14ac:dyDescent="0.3">
      <c r="A119" s="4" t="s">
        <v>167</v>
      </c>
      <c r="B119" s="5">
        <v>45958</v>
      </c>
      <c r="C119" s="4" t="s">
        <v>34</v>
      </c>
      <c r="D119" s="4" t="s">
        <v>28</v>
      </c>
      <c r="E119" s="4" t="s">
        <v>29</v>
      </c>
      <c r="F119" s="4" t="s">
        <v>30</v>
      </c>
      <c r="G119">
        <v>7</v>
      </c>
      <c r="H119">
        <v>160768</v>
      </c>
      <c r="I119">
        <v>131096</v>
      </c>
      <c r="J119">
        <v>1125376</v>
      </c>
      <c r="K119">
        <v>917672</v>
      </c>
      <c r="L119">
        <v>29430</v>
      </c>
      <c r="M119">
        <v>5000</v>
      </c>
      <c r="N119">
        <v>3000</v>
      </c>
      <c r="O119">
        <v>955102</v>
      </c>
      <c r="P119">
        <v>170274</v>
      </c>
      <c r="Q119">
        <v>2025</v>
      </c>
      <c r="R119">
        <v>10</v>
      </c>
      <c r="S119" s="4" t="s">
        <v>335</v>
      </c>
      <c r="T119">
        <v>15.13</v>
      </c>
    </row>
    <row r="120" spans="1:20" x14ac:dyDescent="0.3">
      <c r="A120" s="4" t="s">
        <v>168</v>
      </c>
      <c r="B120" s="5">
        <v>45961</v>
      </c>
      <c r="C120" s="4" t="s">
        <v>27</v>
      </c>
      <c r="D120" s="4" t="s">
        <v>58</v>
      </c>
      <c r="E120" s="4" t="s">
        <v>29</v>
      </c>
      <c r="F120" s="4" t="s">
        <v>42</v>
      </c>
      <c r="G120">
        <v>10</v>
      </c>
      <c r="H120">
        <v>250321</v>
      </c>
      <c r="I120">
        <v>167423</v>
      </c>
      <c r="J120">
        <v>2503210</v>
      </c>
      <c r="K120">
        <v>1674230</v>
      </c>
      <c r="L120">
        <v>15276</v>
      </c>
      <c r="M120">
        <v>0</v>
      </c>
      <c r="N120">
        <v>2000</v>
      </c>
      <c r="O120">
        <v>1691506</v>
      </c>
      <c r="P120">
        <v>811704</v>
      </c>
      <c r="Q120">
        <v>2025</v>
      </c>
      <c r="R120">
        <v>10</v>
      </c>
      <c r="S120" s="4" t="s">
        <v>335</v>
      </c>
      <c r="T120">
        <v>32.43</v>
      </c>
    </row>
    <row r="121" spans="1:20" x14ac:dyDescent="0.3">
      <c r="A121" s="4" t="s">
        <v>169</v>
      </c>
      <c r="B121" s="5">
        <v>45963</v>
      </c>
      <c r="C121" s="4" t="s">
        <v>32</v>
      </c>
      <c r="D121" s="4" t="s">
        <v>39</v>
      </c>
      <c r="E121" s="4" t="s">
        <v>23</v>
      </c>
      <c r="F121" s="4" t="s">
        <v>37</v>
      </c>
      <c r="G121">
        <v>2</v>
      </c>
      <c r="H121">
        <v>35202</v>
      </c>
      <c r="I121">
        <v>20724</v>
      </c>
      <c r="J121">
        <v>70404</v>
      </c>
      <c r="K121">
        <v>41448</v>
      </c>
      <c r="L121">
        <v>24860</v>
      </c>
      <c r="M121">
        <v>20000</v>
      </c>
      <c r="N121">
        <v>10000</v>
      </c>
      <c r="O121">
        <v>96308</v>
      </c>
      <c r="P121">
        <v>-25904</v>
      </c>
      <c r="Q121">
        <v>2025</v>
      </c>
      <c r="R121">
        <v>11</v>
      </c>
      <c r="S121" s="4" t="s">
        <v>336</v>
      </c>
      <c r="T121">
        <v>-36.79</v>
      </c>
    </row>
    <row r="122" spans="1:20" x14ac:dyDescent="0.3">
      <c r="A122" s="4" t="s">
        <v>171</v>
      </c>
      <c r="B122" s="5">
        <v>45969</v>
      </c>
      <c r="C122" s="4" t="s">
        <v>49</v>
      </c>
      <c r="D122" s="4" t="s">
        <v>22</v>
      </c>
      <c r="E122" s="4" t="s">
        <v>23</v>
      </c>
      <c r="F122" s="4" t="s">
        <v>37</v>
      </c>
      <c r="G122">
        <v>5</v>
      </c>
      <c r="H122">
        <v>22979</v>
      </c>
      <c r="I122">
        <v>14060</v>
      </c>
      <c r="J122">
        <v>114895</v>
      </c>
      <c r="K122">
        <v>70300</v>
      </c>
      <c r="L122">
        <v>9544</v>
      </c>
      <c r="M122">
        <v>20000</v>
      </c>
      <c r="N122">
        <v>2000</v>
      </c>
      <c r="O122">
        <v>101844</v>
      </c>
      <c r="P122">
        <v>13051</v>
      </c>
      <c r="Q122">
        <v>2025</v>
      </c>
      <c r="R122">
        <v>11</v>
      </c>
      <c r="S122" s="4" t="s">
        <v>336</v>
      </c>
      <c r="T122">
        <v>11.36</v>
      </c>
    </row>
    <row r="123" spans="1:20" x14ac:dyDescent="0.3">
      <c r="A123" s="4" t="s">
        <v>172</v>
      </c>
      <c r="B123" s="5">
        <v>45974</v>
      </c>
      <c r="C123" s="4" t="s">
        <v>34</v>
      </c>
      <c r="D123" s="4" t="s">
        <v>28</v>
      </c>
      <c r="E123" s="4" t="s">
        <v>29</v>
      </c>
      <c r="F123" s="4" t="s">
        <v>30</v>
      </c>
      <c r="G123">
        <v>1</v>
      </c>
      <c r="H123">
        <v>161607</v>
      </c>
      <c r="I123">
        <v>125548</v>
      </c>
      <c r="J123">
        <v>161607</v>
      </c>
      <c r="K123">
        <v>125548</v>
      </c>
      <c r="L123">
        <v>33174</v>
      </c>
      <c r="M123">
        <v>15000</v>
      </c>
      <c r="N123">
        <v>2000</v>
      </c>
      <c r="O123">
        <v>175722</v>
      </c>
      <c r="P123">
        <v>-14115</v>
      </c>
      <c r="Q123">
        <v>2025</v>
      </c>
      <c r="R123">
        <v>11</v>
      </c>
      <c r="S123" s="4" t="s">
        <v>336</v>
      </c>
      <c r="T123">
        <v>-8.73</v>
      </c>
    </row>
    <row r="124" spans="1:20" x14ac:dyDescent="0.3">
      <c r="A124" s="4" t="s">
        <v>173</v>
      </c>
      <c r="B124" s="5">
        <v>45977</v>
      </c>
      <c r="C124" s="4" t="s">
        <v>34</v>
      </c>
      <c r="D124" s="4" t="s">
        <v>56</v>
      </c>
      <c r="E124" s="4" t="s">
        <v>36</v>
      </c>
      <c r="F124" s="4" t="s">
        <v>24</v>
      </c>
      <c r="G124">
        <v>8</v>
      </c>
      <c r="H124">
        <v>148699</v>
      </c>
      <c r="I124">
        <v>104965</v>
      </c>
      <c r="J124">
        <v>1189592</v>
      </c>
      <c r="K124">
        <v>839720</v>
      </c>
      <c r="L124">
        <v>16404</v>
      </c>
      <c r="M124">
        <v>5000</v>
      </c>
      <c r="N124">
        <v>2000</v>
      </c>
      <c r="O124">
        <v>863124</v>
      </c>
      <c r="P124">
        <v>326468</v>
      </c>
      <c r="Q124">
        <v>2025</v>
      </c>
      <c r="R124">
        <v>11</v>
      </c>
      <c r="S124" s="4" t="s">
        <v>336</v>
      </c>
      <c r="T124">
        <v>27.44</v>
      </c>
    </row>
    <row r="125" spans="1:20" x14ac:dyDescent="0.3">
      <c r="A125" s="4" t="s">
        <v>174</v>
      </c>
      <c r="B125" s="5">
        <v>45977</v>
      </c>
      <c r="C125" s="4" t="s">
        <v>27</v>
      </c>
      <c r="D125" s="4" t="s">
        <v>28</v>
      </c>
      <c r="E125" s="4" t="s">
        <v>29</v>
      </c>
      <c r="F125" s="4" t="s">
        <v>24</v>
      </c>
      <c r="G125">
        <v>10</v>
      </c>
      <c r="H125">
        <v>181987</v>
      </c>
      <c r="I125">
        <v>125713</v>
      </c>
      <c r="J125">
        <v>1819870</v>
      </c>
      <c r="K125">
        <v>1257130</v>
      </c>
      <c r="L125">
        <v>20800</v>
      </c>
      <c r="M125">
        <v>5000</v>
      </c>
      <c r="N125">
        <v>2000</v>
      </c>
      <c r="O125">
        <v>1284930</v>
      </c>
      <c r="P125">
        <v>534940</v>
      </c>
      <c r="Q125">
        <v>2025</v>
      </c>
      <c r="R125">
        <v>11</v>
      </c>
      <c r="S125" s="4" t="s">
        <v>336</v>
      </c>
      <c r="T125">
        <v>29.39</v>
      </c>
    </row>
    <row r="126" spans="1:20" x14ac:dyDescent="0.3">
      <c r="A126" s="4" t="s">
        <v>175</v>
      </c>
      <c r="B126" s="5">
        <v>45978</v>
      </c>
      <c r="C126" s="4" t="s">
        <v>21</v>
      </c>
      <c r="D126" s="4" t="s">
        <v>58</v>
      </c>
      <c r="E126" s="4" t="s">
        <v>29</v>
      </c>
      <c r="F126" s="4" t="s">
        <v>40</v>
      </c>
      <c r="G126">
        <v>8</v>
      </c>
      <c r="H126">
        <v>248702</v>
      </c>
      <c r="I126">
        <v>175236</v>
      </c>
      <c r="J126">
        <v>1989616</v>
      </c>
      <c r="K126">
        <v>1401888</v>
      </c>
      <c r="L126">
        <v>18888</v>
      </c>
      <c r="M126">
        <v>15000</v>
      </c>
      <c r="N126">
        <v>2000</v>
      </c>
      <c r="O126">
        <v>1437776</v>
      </c>
      <c r="P126">
        <v>551840</v>
      </c>
      <c r="Q126">
        <v>2025</v>
      </c>
      <c r="R126">
        <v>11</v>
      </c>
      <c r="S126" s="4" t="s">
        <v>336</v>
      </c>
      <c r="T126">
        <v>27.74</v>
      </c>
    </row>
    <row r="127" spans="1:20" x14ac:dyDescent="0.3">
      <c r="A127" s="4" t="s">
        <v>176</v>
      </c>
      <c r="B127" s="5">
        <v>45978</v>
      </c>
      <c r="C127" s="4" t="s">
        <v>49</v>
      </c>
      <c r="D127" s="4" t="s">
        <v>39</v>
      </c>
      <c r="E127" s="4" t="s">
        <v>23</v>
      </c>
      <c r="F127" s="4" t="s">
        <v>40</v>
      </c>
      <c r="G127">
        <v>10</v>
      </c>
      <c r="H127">
        <v>31742</v>
      </c>
      <c r="I127">
        <v>21429</v>
      </c>
      <c r="J127">
        <v>317420</v>
      </c>
      <c r="K127">
        <v>214290</v>
      </c>
      <c r="L127">
        <v>18108</v>
      </c>
      <c r="M127">
        <v>0</v>
      </c>
      <c r="N127">
        <v>8000</v>
      </c>
      <c r="O127">
        <v>240398</v>
      </c>
      <c r="P127">
        <v>77022</v>
      </c>
      <c r="Q127">
        <v>2025</v>
      </c>
      <c r="R127">
        <v>11</v>
      </c>
      <c r="S127" s="4" t="s">
        <v>336</v>
      </c>
      <c r="T127">
        <v>24.27</v>
      </c>
    </row>
    <row r="128" spans="1:20" x14ac:dyDescent="0.3">
      <c r="A128" s="4" t="s">
        <v>177</v>
      </c>
      <c r="B128" s="5">
        <v>45980</v>
      </c>
      <c r="C128" s="4" t="s">
        <v>49</v>
      </c>
      <c r="D128" s="4" t="s">
        <v>58</v>
      </c>
      <c r="E128" s="4" t="s">
        <v>29</v>
      </c>
      <c r="F128" s="4" t="s">
        <v>30</v>
      </c>
      <c r="G128">
        <v>7</v>
      </c>
      <c r="H128">
        <v>232346</v>
      </c>
      <c r="I128">
        <v>178625</v>
      </c>
      <c r="J128">
        <v>1626422</v>
      </c>
      <c r="K128">
        <v>1250375</v>
      </c>
      <c r="L128">
        <v>12101</v>
      </c>
      <c r="M128">
        <v>10000</v>
      </c>
      <c r="N128">
        <v>3000</v>
      </c>
      <c r="O128">
        <v>1275476</v>
      </c>
      <c r="P128">
        <v>350946</v>
      </c>
      <c r="Q128">
        <v>2025</v>
      </c>
      <c r="R128">
        <v>11</v>
      </c>
      <c r="S128" s="4" t="s">
        <v>336</v>
      </c>
      <c r="T128">
        <v>21.58</v>
      </c>
    </row>
    <row r="129" spans="1:20" x14ac:dyDescent="0.3">
      <c r="A129" s="4" t="s">
        <v>178</v>
      </c>
      <c r="B129" s="5">
        <v>45981</v>
      </c>
      <c r="C129" s="4" t="s">
        <v>49</v>
      </c>
      <c r="D129" s="4" t="s">
        <v>58</v>
      </c>
      <c r="E129" s="4" t="s">
        <v>29</v>
      </c>
      <c r="F129" s="4" t="s">
        <v>24</v>
      </c>
      <c r="G129">
        <v>2</v>
      </c>
      <c r="H129">
        <v>219634</v>
      </c>
      <c r="I129">
        <v>178404</v>
      </c>
      <c r="J129">
        <v>439268</v>
      </c>
      <c r="K129">
        <v>356808</v>
      </c>
      <c r="L129">
        <v>17500</v>
      </c>
      <c r="M129">
        <v>20000</v>
      </c>
      <c r="N129">
        <v>2000</v>
      </c>
      <c r="O129">
        <v>396308</v>
      </c>
      <c r="P129">
        <v>42960</v>
      </c>
      <c r="Q129">
        <v>2025</v>
      </c>
      <c r="R129">
        <v>11</v>
      </c>
      <c r="S129" s="4" t="s">
        <v>336</v>
      </c>
      <c r="T129">
        <v>9.7799999999999994</v>
      </c>
    </row>
    <row r="130" spans="1:20" x14ac:dyDescent="0.3">
      <c r="A130" s="4" t="s">
        <v>179</v>
      </c>
      <c r="B130" s="5">
        <v>45986</v>
      </c>
      <c r="C130" s="4" t="s">
        <v>27</v>
      </c>
      <c r="D130" s="4" t="s">
        <v>28</v>
      </c>
      <c r="E130" s="4" t="s">
        <v>29</v>
      </c>
      <c r="F130" s="4" t="s">
        <v>30</v>
      </c>
      <c r="G130">
        <v>15</v>
      </c>
      <c r="H130">
        <v>188572</v>
      </c>
      <c r="I130">
        <v>132828</v>
      </c>
      <c r="J130">
        <v>2828580</v>
      </c>
      <c r="K130">
        <v>1992420</v>
      </c>
      <c r="L130">
        <v>12609</v>
      </c>
      <c r="M130">
        <v>20000</v>
      </c>
      <c r="N130">
        <v>2000</v>
      </c>
      <c r="O130">
        <v>2027029</v>
      </c>
      <c r="P130">
        <v>801551</v>
      </c>
      <c r="Q130">
        <v>2025</v>
      </c>
      <c r="R130">
        <v>11</v>
      </c>
      <c r="S130" s="4" t="s">
        <v>336</v>
      </c>
      <c r="T130">
        <v>28.34</v>
      </c>
    </row>
    <row r="131" spans="1:20" x14ac:dyDescent="0.3">
      <c r="A131" s="4" t="s">
        <v>180</v>
      </c>
      <c r="B131" s="5">
        <v>45987</v>
      </c>
      <c r="C131" s="4" t="s">
        <v>49</v>
      </c>
      <c r="D131" s="4" t="s">
        <v>56</v>
      </c>
      <c r="E131" s="4" t="s">
        <v>36</v>
      </c>
      <c r="F131" s="4" t="s">
        <v>24</v>
      </c>
      <c r="G131">
        <v>8</v>
      </c>
      <c r="H131">
        <v>141221</v>
      </c>
      <c r="I131">
        <v>105654</v>
      </c>
      <c r="J131">
        <v>1129768</v>
      </c>
      <c r="K131">
        <v>845232</v>
      </c>
      <c r="L131">
        <v>36394</v>
      </c>
      <c r="M131">
        <v>5000</v>
      </c>
      <c r="N131">
        <v>2000</v>
      </c>
      <c r="O131">
        <v>888626</v>
      </c>
      <c r="P131">
        <v>241142</v>
      </c>
      <c r="Q131">
        <v>2025</v>
      </c>
      <c r="R131">
        <v>11</v>
      </c>
      <c r="S131" s="4" t="s">
        <v>336</v>
      </c>
      <c r="T131">
        <v>21.34</v>
      </c>
    </row>
    <row r="132" spans="1:20" x14ac:dyDescent="0.3">
      <c r="A132" s="4" t="s">
        <v>181</v>
      </c>
      <c r="B132" s="5">
        <v>45988</v>
      </c>
      <c r="C132" s="4" t="s">
        <v>34</v>
      </c>
      <c r="D132" s="4" t="s">
        <v>39</v>
      </c>
      <c r="E132" s="4" t="s">
        <v>23</v>
      </c>
      <c r="F132" s="4" t="s">
        <v>45</v>
      </c>
      <c r="G132">
        <v>1</v>
      </c>
      <c r="H132">
        <v>31013</v>
      </c>
      <c r="I132">
        <v>22172</v>
      </c>
      <c r="J132">
        <v>31013</v>
      </c>
      <c r="K132">
        <v>22172</v>
      </c>
      <c r="L132">
        <v>29810</v>
      </c>
      <c r="M132">
        <v>20000</v>
      </c>
      <c r="N132">
        <v>2000</v>
      </c>
      <c r="O132">
        <v>73982</v>
      </c>
      <c r="P132">
        <v>-42969</v>
      </c>
      <c r="Q132">
        <v>2025</v>
      </c>
      <c r="R132">
        <v>11</v>
      </c>
      <c r="S132" s="4" t="s">
        <v>336</v>
      </c>
      <c r="T132">
        <v>-138.55000000000001</v>
      </c>
    </row>
    <row r="133" spans="1:20" x14ac:dyDescent="0.3">
      <c r="A133" s="4" t="s">
        <v>182</v>
      </c>
      <c r="B133" s="5">
        <v>45990</v>
      </c>
      <c r="C133" s="4" t="s">
        <v>32</v>
      </c>
      <c r="D133" s="4" t="s">
        <v>39</v>
      </c>
      <c r="E133" s="4" t="s">
        <v>23</v>
      </c>
      <c r="F133" s="4" t="s">
        <v>45</v>
      </c>
      <c r="G133">
        <v>2</v>
      </c>
      <c r="H133">
        <v>34995</v>
      </c>
      <c r="I133">
        <v>20309</v>
      </c>
      <c r="J133">
        <v>69990</v>
      </c>
      <c r="K133">
        <v>40618</v>
      </c>
      <c r="L133">
        <v>37151</v>
      </c>
      <c r="M133">
        <v>20000</v>
      </c>
      <c r="N133">
        <v>2000</v>
      </c>
      <c r="O133">
        <v>99769</v>
      </c>
      <c r="P133">
        <v>-29779</v>
      </c>
      <c r="Q133">
        <v>2025</v>
      </c>
      <c r="R133">
        <v>11</v>
      </c>
      <c r="S133" s="4" t="s">
        <v>336</v>
      </c>
      <c r="T133">
        <v>-42.55</v>
      </c>
    </row>
    <row r="134" spans="1:20" x14ac:dyDescent="0.3">
      <c r="A134" s="4" t="s">
        <v>183</v>
      </c>
      <c r="B134" s="5">
        <v>45990</v>
      </c>
      <c r="C134" s="4" t="s">
        <v>32</v>
      </c>
      <c r="D134" s="4" t="s">
        <v>58</v>
      </c>
      <c r="E134" s="4" t="s">
        <v>29</v>
      </c>
      <c r="F134" s="4" t="s">
        <v>30</v>
      </c>
      <c r="G134">
        <v>8</v>
      </c>
      <c r="H134">
        <v>238343</v>
      </c>
      <c r="I134">
        <v>183956</v>
      </c>
      <c r="J134">
        <v>1906744</v>
      </c>
      <c r="K134">
        <v>1471648</v>
      </c>
      <c r="L134">
        <v>9859</v>
      </c>
      <c r="M134">
        <v>15000</v>
      </c>
      <c r="N134">
        <v>2000</v>
      </c>
      <c r="O134">
        <v>1498507</v>
      </c>
      <c r="P134">
        <v>408237</v>
      </c>
      <c r="Q134">
        <v>2025</v>
      </c>
      <c r="R134">
        <v>11</v>
      </c>
      <c r="S134" s="4" t="s">
        <v>336</v>
      </c>
      <c r="T134">
        <v>21.41</v>
      </c>
    </row>
    <row r="135" spans="1:20" x14ac:dyDescent="0.3">
      <c r="A135" s="4" t="s">
        <v>184</v>
      </c>
      <c r="B135" s="5">
        <v>45990</v>
      </c>
      <c r="C135" s="4" t="s">
        <v>32</v>
      </c>
      <c r="D135" s="4" t="s">
        <v>56</v>
      </c>
      <c r="E135" s="4" t="s">
        <v>36</v>
      </c>
      <c r="F135" s="4" t="s">
        <v>45</v>
      </c>
      <c r="G135">
        <v>9</v>
      </c>
      <c r="H135">
        <v>138361</v>
      </c>
      <c r="I135">
        <v>105589</v>
      </c>
      <c r="J135">
        <v>1245249</v>
      </c>
      <c r="K135">
        <v>950301</v>
      </c>
      <c r="L135">
        <v>23870</v>
      </c>
      <c r="M135">
        <v>0</v>
      </c>
      <c r="N135">
        <v>2000</v>
      </c>
      <c r="O135">
        <v>976171</v>
      </c>
      <c r="P135">
        <v>269078</v>
      </c>
      <c r="Q135">
        <v>2025</v>
      </c>
      <c r="R135">
        <v>11</v>
      </c>
      <c r="S135" s="4" t="s">
        <v>336</v>
      </c>
      <c r="T135">
        <v>21.61</v>
      </c>
    </row>
    <row r="136" spans="1:20" x14ac:dyDescent="0.3">
      <c r="A136" s="4" t="s">
        <v>185</v>
      </c>
      <c r="B136" s="5">
        <v>45990</v>
      </c>
      <c r="C136" s="4" t="s">
        <v>21</v>
      </c>
      <c r="D136" s="4" t="s">
        <v>35</v>
      </c>
      <c r="E136" s="4" t="s">
        <v>36</v>
      </c>
      <c r="F136" s="4" t="s">
        <v>42</v>
      </c>
      <c r="G136">
        <v>14</v>
      </c>
      <c r="H136">
        <v>471491</v>
      </c>
      <c r="I136">
        <v>384033</v>
      </c>
      <c r="J136">
        <v>6600874</v>
      </c>
      <c r="K136">
        <v>5376462</v>
      </c>
      <c r="L136">
        <v>17216</v>
      </c>
      <c r="M136">
        <v>0</v>
      </c>
      <c r="N136">
        <v>3000</v>
      </c>
      <c r="O136">
        <v>5396678</v>
      </c>
      <c r="P136">
        <v>1204196</v>
      </c>
      <c r="Q136">
        <v>2025</v>
      </c>
      <c r="R136">
        <v>11</v>
      </c>
      <c r="S136" s="4" t="s">
        <v>336</v>
      </c>
      <c r="T136">
        <v>18.239999999999998</v>
      </c>
    </row>
    <row r="137" spans="1:20" x14ac:dyDescent="0.3">
      <c r="A137" s="4" t="s">
        <v>186</v>
      </c>
      <c r="B137" s="5">
        <v>45993</v>
      </c>
      <c r="C137" s="4" t="s">
        <v>27</v>
      </c>
      <c r="D137" s="4" t="s">
        <v>35</v>
      </c>
      <c r="E137" s="4" t="s">
        <v>36</v>
      </c>
      <c r="F137" s="4" t="s">
        <v>42</v>
      </c>
      <c r="G137">
        <v>8</v>
      </c>
      <c r="H137">
        <v>543183</v>
      </c>
      <c r="I137">
        <v>378037</v>
      </c>
      <c r="J137">
        <v>4345464</v>
      </c>
      <c r="K137">
        <v>3024296</v>
      </c>
      <c r="L137">
        <v>17458</v>
      </c>
      <c r="M137">
        <v>20000</v>
      </c>
      <c r="N137">
        <v>3000</v>
      </c>
      <c r="O137">
        <v>3064754</v>
      </c>
      <c r="P137">
        <v>1280710</v>
      </c>
      <c r="Q137">
        <v>2025</v>
      </c>
      <c r="R137">
        <v>12</v>
      </c>
      <c r="S137" s="4" t="s">
        <v>337</v>
      </c>
      <c r="T137">
        <v>29.47</v>
      </c>
    </row>
    <row r="138" spans="1:20" x14ac:dyDescent="0.3">
      <c r="A138" s="4" t="s">
        <v>188</v>
      </c>
      <c r="B138" s="5">
        <v>46000</v>
      </c>
      <c r="C138" s="4" t="s">
        <v>34</v>
      </c>
      <c r="D138" s="4" t="s">
        <v>35</v>
      </c>
      <c r="E138" s="4" t="s">
        <v>36</v>
      </c>
      <c r="F138" s="4" t="s">
        <v>24</v>
      </c>
      <c r="G138">
        <v>2</v>
      </c>
      <c r="H138">
        <v>492360</v>
      </c>
      <c r="I138">
        <v>387084</v>
      </c>
      <c r="J138">
        <v>984720</v>
      </c>
      <c r="K138">
        <v>774168</v>
      </c>
      <c r="L138">
        <v>16571</v>
      </c>
      <c r="M138">
        <v>20000</v>
      </c>
      <c r="N138">
        <v>3000</v>
      </c>
      <c r="O138">
        <v>813739</v>
      </c>
      <c r="P138">
        <v>170981</v>
      </c>
      <c r="Q138">
        <v>2025</v>
      </c>
      <c r="R138">
        <v>12</v>
      </c>
      <c r="S138" s="4" t="s">
        <v>337</v>
      </c>
      <c r="T138">
        <v>17.36</v>
      </c>
    </row>
    <row r="139" spans="1:20" x14ac:dyDescent="0.3">
      <c r="A139" s="4" t="s">
        <v>189</v>
      </c>
      <c r="B139" s="5">
        <v>46002</v>
      </c>
      <c r="C139" s="4" t="s">
        <v>21</v>
      </c>
      <c r="D139" s="4" t="s">
        <v>39</v>
      </c>
      <c r="E139" s="4" t="s">
        <v>23</v>
      </c>
      <c r="F139" s="4" t="s">
        <v>45</v>
      </c>
      <c r="G139">
        <v>10</v>
      </c>
      <c r="H139">
        <v>33356</v>
      </c>
      <c r="I139">
        <v>20325</v>
      </c>
      <c r="J139">
        <v>333560</v>
      </c>
      <c r="K139">
        <v>203250</v>
      </c>
      <c r="L139">
        <v>34629</v>
      </c>
      <c r="M139">
        <v>20000</v>
      </c>
      <c r="N139">
        <v>3000</v>
      </c>
      <c r="O139">
        <v>260879</v>
      </c>
      <c r="P139">
        <v>72681</v>
      </c>
      <c r="Q139">
        <v>2025</v>
      </c>
      <c r="R139">
        <v>12</v>
      </c>
      <c r="S139" s="4" t="s">
        <v>337</v>
      </c>
      <c r="T139">
        <v>21.79</v>
      </c>
    </row>
    <row r="140" spans="1:20" x14ac:dyDescent="0.3">
      <c r="A140" s="4" t="s">
        <v>190</v>
      </c>
      <c r="B140" s="5">
        <v>46005</v>
      </c>
      <c r="C140" s="4" t="s">
        <v>21</v>
      </c>
      <c r="D140" s="4" t="s">
        <v>35</v>
      </c>
      <c r="E140" s="4" t="s">
        <v>36</v>
      </c>
      <c r="F140" s="4" t="s">
        <v>37</v>
      </c>
      <c r="G140">
        <v>4</v>
      </c>
      <c r="H140">
        <v>482541</v>
      </c>
      <c r="I140">
        <v>389746</v>
      </c>
      <c r="J140">
        <v>1930164</v>
      </c>
      <c r="K140">
        <v>1558984</v>
      </c>
      <c r="L140">
        <v>23530</v>
      </c>
      <c r="M140">
        <v>5000</v>
      </c>
      <c r="N140">
        <v>5000</v>
      </c>
      <c r="O140">
        <v>1592514</v>
      </c>
      <c r="P140">
        <v>337650</v>
      </c>
      <c r="Q140">
        <v>2025</v>
      </c>
      <c r="R140">
        <v>12</v>
      </c>
      <c r="S140" s="4" t="s">
        <v>337</v>
      </c>
      <c r="T140">
        <v>17.489999999999998</v>
      </c>
    </row>
    <row r="141" spans="1:20" x14ac:dyDescent="0.3">
      <c r="A141" s="4" t="s">
        <v>191</v>
      </c>
      <c r="B141" s="5">
        <v>46006</v>
      </c>
      <c r="C141" s="4" t="s">
        <v>21</v>
      </c>
      <c r="D141" s="4" t="s">
        <v>39</v>
      </c>
      <c r="E141" s="4" t="s">
        <v>23</v>
      </c>
      <c r="F141" s="4" t="s">
        <v>24</v>
      </c>
      <c r="G141">
        <v>6</v>
      </c>
      <c r="H141">
        <v>35636</v>
      </c>
      <c r="I141">
        <v>20688</v>
      </c>
      <c r="J141">
        <v>213816</v>
      </c>
      <c r="K141">
        <v>124128</v>
      </c>
      <c r="L141">
        <v>20396</v>
      </c>
      <c r="M141">
        <v>15000</v>
      </c>
      <c r="N141">
        <v>3000</v>
      </c>
      <c r="O141">
        <v>162524</v>
      </c>
      <c r="P141">
        <v>51292</v>
      </c>
      <c r="Q141">
        <v>2025</v>
      </c>
      <c r="R141">
        <v>12</v>
      </c>
      <c r="S141" s="4" t="s">
        <v>337</v>
      </c>
      <c r="T141">
        <v>23.99</v>
      </c>
    </row>
    <row r="142" spans="1:20" x14ac:dyDescent="0.3">
      <c r="A142" s="4" t="s">
        <v>192</v>
      </c>
      <c r="B142" s="5">
        <v>46015</v>
      </c>
      <c r="C142" s="4" t="s">
        <v>49</v>
      </c>
      <c r="D142" s="4" t="s">
        <v>35</v>
      </c>
      <c r="E142" s="4" t="s">
        <v>36</v>
      </c>
      <c r="F142" s="4" t="s">
        <v>30</v>
      </c>
      <c r="G142">
        <v>1</v>
      </c>
      <c r="H142">
        <v>471072</v>
      </c>
      <c r="I142">
        <v>386543</v>
      </c>
      <c r="J142">
        <v>471072</v>
      </c>
      <c r="K142">
        <v>386543</v>
      </c>
      <c r="L142">
        <v>22066</v>
      </c>
      <c r="M142">
        <v>0</v>
      </c>
      <c r="N142">
        <v>5000</v>
      </c>
      <c r="O142">
        <v>413609</v>
      </c>
      <c r="P142">
        <v>57463</v>
      </c>
      <c r="Q142">
        <v>2025</v>
      </c>
      <c r="R142">
        <v>12</v>
      </c>
      <c r="S142" s="4" t="s">
        <v>337</v>
      </c>
      <c r="T142">
        <v>12.2</v>
      </c>
    </row>
    <row r="143" spans="1:20" x14ac:dyDescent="0.3">
      <c r="A143" s="4" t="s">
        <v>193</v>
      </c>
      <c r="B143" s="5">
        <v>46027</v>
      </c>
      <c r="C143" s="4" t="s">
        <v>34</v>
      </c>
      <c r="D143" s="4" t="s">
        <v>58</v>
      </c>
      <c r="E143" s="4" t="s">
        <v>29</v>
      </c>
      <c r="F143" s="4" t="s">
        <v>24</v>
      </c>
      <c r="G143">
        <v>1</v>
      </c>
      <c r="H143">
        <v>231932</v>
      </c>
      <c r="I143">
        <v>168687</v>
      </c>
      <c r="J143">
        <v>231932</v>
      </c>
      <c r="K143">
        <v>168687</v>
      </c>
      <c r="L143">
        <v>8114</v>
      </c>
      <c r="M143">
        <v>0</v>
      </c>
      <c r="N143">
        <v>10000</v>
      </c>
      <c r="O143">
        <v>186801</v>
      </c>
      <c r="P143">
        <v>45131</v>
      </c>
      <c r="Q143">
        <v>2026</v>
      </c>
      <c r="R143">
        <v>1</v>
      </c>
      <c r="S143" s="4" t="s">
        <v>326</v>
      </c>
      <c r="T143">
        <v>19.46</v>
      </c>
    </row>
    <row r="144" spans="1:20" x14ac:dyDescent="0.3">
      <c r="A144" s="4" t="s">
        <v>194</v>
      </c>
      <c r="B144" s="5">
        <v>46028</v>
      </c>
      <c r="C144" s="4" t="s">
        <v>32</v>
      </c>
      <c r="D144" s="4" t="s">
        <v>39</v>
      </c>
      <c r="E144" s="4" t="s">
        <v>23</v>
      </c>
      <c r="F144" s="4" t="s">
        <v>24</v>
      </c>
      <c r="G144">
        <v>2</v>
      </c>
      <c r="H144">
        <v>33008</v>
      </c>
      <c r="I144">
        <v>20462</v>
      </c>
      <c r="J144">
        <v>66016</v>
      </c>
      <c r="K144">
        <v>40924</v>
      </c>
      <c r="L144">
        <v>31444</v>
      </c>
      <c r="M144">
        <v>0</v>
      </c>
      <c r="N144">
        <v>10000</v>
      </c>
      <c r="O144">
        <v>82368</v>
      </c>
      <c r="P144">
        <v>-16352</v>
      </c>
      <c r="Q144">
        <v>2026</v>
      </c>
      <c r="R144">
        <v>1</v>
      </c>
      <c r="S144" s="4" t="s">
        <v>326</v>
      </c>
      <c r="T144">
        <v>-24.77</v>
      </c>
    </row>
    <row r="145" spans="1:20" x14ac:dyDescent="0.3">
      <c r="A145" s="4" t="s">
        <v>195</v>
      </c>
      <c r="B145" s="5">
        <v>46028</v>
      </c>
      <c r="C145" s="4" t="s">
        <v>21</v>
      </c>
      <c r="D145" s="4" t="s">
        <v>39</v>
      </c>
      <c r="E145" s="4" t="s">
        <v>23</v>
      </c>
      <c r="F145" s="4" t="s">
        <v>40</v>
      </c>
      <c r="G145">
        <v>12</v>
      </c>
      <c r="H145">
        <v>31911</v>
      </c>
      <c r="I145">
        <v>21478</v>
      </c>
      <c r="J145">
        <v>382932</v>
      </c>
      <c r="K145">
        <v>257736</v>
      </c>
      <c r="L145">
        <v>18102</v>
      </c>
      <c r="M145">
        <v>0</v>
      </c>
      <c r="N145">
        <v>3000</v>
      </c>
      <c r="O145">
        <v>278838</v>
      </c>
      <c r="P145">
        <v>104094</v>
      </c>
      <c r="Q145">
        <v>2026</v>
      </c>
      <c r="R145">
        <v>1</v>
      </c>
      <c r="S145" s="4" t="s">
        <v>326</v>
      </c>
      <c r="T145">
        <v>27.18</v>
      </c>
    </row>
    <row r="146" spans="1:20" x14ac:dyDescent="0.3">
      <c r="A146" s="4" t="s">
        <v>196</v>
      </c>
      <c r="B146" s="5">
        <v>46028</v>
      </c>
      <c r="C146" s="4" t="s">
        <v>49</v>
      </c>
      <c r="D146" s="4" t="s">
        <v>22</v>
      </c>
      <c r="E146" s="4" t="s">
        <v>23</v>
      </c>
      <c r="F146" s="4" t="s">
        <v>42</v>
      </c>
      <c r="G146">
        <v>12</v>
      </c>
      <c r="H146">
        <v>21872</v>
      </c>
      <c r="I146">
        <v>13571</v>
      </c>
      <c r="J146">
        <v>262464</v>
      </c>
      <c r="K146">
        <v>162852</v>
      </c>
      <c r="L146">
        <v>27620</v>
      </c>
      <c r="M146">
        <v>10000</v>
      </c>
      <c r="N146">
        <v>10000</v>
      </c>
      <c r="O146">
        <v>210472</v>
      </c>
      <c r="P146">
        <v>51992</v>
      </c>
      <c r="Q146">
        <v>2026</v>
      </c>
      <c r="R146">
        <v>1</v>
      </c>
      <c r="S146" s="4" t="s">
        <v>326</v>
      </c>
      <c r="T146">
        <v>19.809999999999999</v>
      </c>
    </row>
    <row r="147" spans="1:20" x14ac:dyDescent="0.3">
      <c r="A147" s="4" t="s">
        <v>197</v>
      </c>
      <c r="B147" s="5">
        <v>46035</v>
      </c>
      <c r="C147" s="4" t="s">
        <v>32</v>
      </c>
      <c r="D147" s="4" t="s">
        <v>56</v>
      </c>
      <c r="E147" s="4" t="s">
        <v>36</v>
      </c>
      <c r="F147" s="4" t="s">
        <v>42</v>
      </c>
      <c r="G147">
        <v>3</v>
      </c>
      <c r="H147">
        <v>144620</v>
      </c>
      <c r="I147">
        <v>100746</v>
      </c>
      <c r="J147">
        <v>433860</v>
      </c>
      <c r="K147">
        <v>302238</v>
      </c>
      <c r="L147">
        <v>18918</v>
      </c>
      <c r="M147">
        <v>15000</v>
      </c>
      <c r="N147">
        <v>8000</v>
      </c>
      <c r="O147">
        <v>344156</v>
      </c>
      <c r="P147">
        <v>89704</v>
      </c>
      <c r="Q147">
        <v>2026</v>
      </c>
      <c r="R147">
        <v>1</v>
      </c>
      <c r="S147" s="4" t="s">
        <v>326</v>
      </c>
      <c r="T147">
        <v>20.68</v>
      </c>
    </row>
    <row r="148" spans="1:20" x14ac:dyDescent="0.3">
      <c r="A148" s="4" t="s">
        <v>198</v>
      </c>
      <c r="B148" s="5">
        <v>46036</v>
      </c>
      <c r="C148" s="4" t="s">
        <v>32</v>
      </c>
      <c r="D148" s="4" t="s">
        <v>39</v>
      </c>
      <c r="E148" s="4" t="s">
        <v>23</v>
      </c>
      <c r="F148" s="4" t="s">
        <v>30</v>
      </c>
      <c r="G148">
        <v>3</v>
      </c>
      <c r="H148">
        <v>32906</v>
      </c>
      <c r="I148">
        <v>20047</v>
      </c>
      <c r="J148">
        <v>98718</v>
      </c>
      <c r="K148">
        <v>60141</v>
      </c>
      <c r="L148">
        <v>21185</v>
      </c>
      <c r="M148">
        <v>0</v>
      </c>
      <c r="N148">
        <v>5000</v>
      </c>
      <c r="O148">
        <v>86326</v>
      </c>
      <c r="P148">
        <v>12392</v>
      </c>
      <c r="Q148">
        <v>2026</v>
      </c>
      <c r="R148">
        <v>1</v>
      </c>
      <c r="S148" s="4" t="s">
        <v>326</v>
      </c>
      <c r="T148">
        <v>12.55</v>
      </c>
    </row>
    <row r="149" spans="1:20" x14ac:dyDescent="0.3">
      <c r="A149" s="4" t="s">
        <v>199</v>
      </c>
      <c r="B149" s="5">
        <v>46040</v>
      </c>
      <c r="C149" s="4" t="s">
        <v>32</v>
      </c>
      <c r="D149" s="4" t="s">
        <v>28</v>
      </c>
      <c r="E149" s="4" t="s">
        <v>29</v>
      </c>
      <c r="F149" s="4" t="s">
        <v>40</v>
      </c>
      <c r="G149">
        <v>6</v>
      </c>
      <c r="H149">
        <v>176932</v>
      </c>
      <c r="I149">
        <v>126347</v>
      </c>
      <c r="J149">
        <v>1061592</v>
      </c>
      <c r="K149">
        <v>758082</v>
      </c>
      <c r="L149">
        <v>27102</v>
      </c>
      <c r="M149">
        <v>15000</v>
      </c>
      <c r="N149">
        <v>10000</v>
      </c>
      <c r="O149">
        <v>810184</v>
      </c>
      <c r="P149">
        <v>251408</v>
      </c>
      <c r="Q149">
        <v>2026</v>
      </c>
      <c r="R149">
        <v>1</v>
      </c>
      <c r="S149" s="4" t="s">
        <v>326</v>
      </c>
      <c r="T149">
        <v>23.68</v>
      </c>
    </row>
    <row r="150" spans="1:20" x14ac:dyDescent="0.3">
      <c r="A150" s="4" t="s">
        <v>200</v>
      </c>
      <c r="B150" s="5">
        <v>46044</v>
      </c>
      <c r="C150" s="4" t="s">
        <v>34</v>
      </c>
      <c r="D150" s="4" t="s">
        <v>56</v>
      </c>
      <c r="E150" s="4" t="s">
        <v>36</v>
      </c>
      <c r="F150" s="4" t="s">
        <v>37</v>
      </c>
      <c r="G150">
        <v>14</v>
      </c>
      <c r="H150">
        <v>134814</v>
      </c>
      <c r="I150">
        <v>107806</v>
      </c>
      <c r="J150">
        <v>1887396</v>
      </c>
      <c r="K150">
        <v>1509284</v>
      </c>
      <c r="L150">
        <v>29670</v>
      </c>
      <c r="M150">
        <v>15000</v>
      </c>
      <c r="N150">
        <v>3000</v>
      </c>
      <c r="O150">
        <v>1556954</v>
      </c>
      <c r="P150">
        <v>330442</v>
      </c>
      <c r="Q150">
        <v>2026</v>
      </c>
      <c r="R150">
        <v>1</v>
      </c>
      <c r="S150" s="4" t="s">
        <v>326</v>
      </c>
      <c r="T150">
        <v>17.510000000000002</v>
      </c>
    </row>
    <row r="151" spans="1:20" x14ac:dyDescent="0.3">
      <c r="A151" s="4" t="s">
        <v>201</v>
      </c>
      <c r="B151" s="5">
        <v>46046</v>
      </c>
      <c r="C151" s="4" t="s">
        <v>49</v>
      </c>
      <c r="D151" s="4" t="s">
        <v>28</v>
      </c>
      <c r="E151" s="4" t="s">
        <v>29</v>
      </c>
      <c r="F151" s="4" t="s">
        <v>24</v>
      </c>
      <c r="G151">
        <v>5</v>
      </c>
      <c r="H151">
        <v>173118</v>
      </c>
      <c r="I151">
        <v>130225</v>
      </c>
      <c r="J151">
        <v>865590</v>
      </c>
      <c r="K151">
        <v>651125</v>
      </c>
      <c r="L151">
        <v>36930</v>
      </c>
      <c r="M151">
        <v>20000</v>
      </c>
      <c r="N151">
        <v>2000</v>
      </c>
      <c r="O151">
        <v>710055</v>
      </c>
      <c r="P151">
        <v>155535</v>
      </c>
      <c r="Q151">
        <v>2026</v>
      </c>
      <c r="R151">
        <v>1</v>
      </c>
      <c r="S151" s="4" t="s">
        <v>326</v>
      </c>
      <c r="T151">
        <v>17.97</v>
      </c>
    </row>
    <row r="152" spans="1:20" x14ac:dyDescent="0.3">
      <c r="A152" s="4" t="s">
        <v>202</v>
      </c>
      <c r="B152" s="5">
        <v>46047</v>
      </c>
      <c r="C152" s="4" t="s">
        <v>21</v>
      </c>
      <c r="D152" s="4" t="s">
        <v>58</v>
      </c>
      <c r="E152" s="4" t="s">
        <v>29</v>
      </c>
      <c r="F152" s="4" t="s">
        <v>24</v>
      </c>
      <c r="G152">
        <v>1</v>
      </c>
      <c r="H152">
        <v>235045</v>
      </c>
      <c r="I152">
        <v>179735</v>
      </c>
      <c r="J152">
        <v>235045</v>
      </c>
      <c r="K152">
        <v>179735</v>
      </c>
      <c r="L152">
        <v>14064</v>
      </c>
      <c r="M152">
        <v>0</v>
      </c>
      <c r="N152">
        <v>8000</v>
      </c>
      <c r="O152">
        <v>201799</v>
      </c>
      <c r="P152">
        <v>33246</v>
      </c>
      <c r="Q152">
        <v>2026</v>
      </c>
      <c r="R152">
        <v>1</v>
      </c>
      <c r="S152" s="4" t="s">
        <v>326</v>
      </c>
      <c r="T152">
        <v>14.14</v>
      </c>
    </row>
    <row r="153" spans="1:20" x14ac:dyDescent="0.3">
      <c r="A153" s="4" t="s">
        <v>203</v>
      </c>
      <c r="B153" s="5">
        <v>46047</v>
      </c>
      <c r="C153" s="4" t="s">
        <v>49</v>
      </c>
      <c r="D153" s="4" t="s">
        <v>28</v>
      </c>
      <c r="E153" s="4" t="s">
        <v>29</v>
      </c>
      <c r="F153" s="4" t="s">
        <v>45</v>
      </c>
      <c r="G153">
        <v>11</v>
      </c>
      <c r="H153">
        <v>173100</v>
      </c>
      <c r="I153">
        <v>125826</v>
      </c>
      <c r="J153">
        <v>1904100</v>
      </c>
      <c r="K153">
        <v>1384086</v>
      </c>
      <c r="L153">
        <v>20801</v>
      </c>
      <c r="M153">
        <v>5000</v>
      </c>
      <c r="N153">
        <v>5000</v>
      </c>
      <c r="O153">
        <v>1414887</v>
      </c>
      <c r="P153">
        <v>489213</v>
      </c>
      <c r="Q153">
        <v>2026</v>
      </c>
      <c r="R153">
        <v>1</v>
      </c>
      <c r="S153" s="4" t="s">
        <v>326</v>
      </c>
      <c r="T153">
        <v>25.69</v>
      </c>
    </row>
    <row r="154" spans="1:20" x14ac:dyDescent="0.3">
      <c r="A154" s="4" t="s">
        <v>204</v>
      </c>
      <c r="B154" s="5">
        <v>46051</v>
      </c>
      <c r="C154" s="4" t="s">
        <v>27</v>
      </c>
      <c r="D154" s="4" t="s">
        <v>56</v>
      </c>
      <c r="E154" s="4" t="s">
        <v>36</v>
      </c>
      <c r="F154" s="4" t="s">
        <v>45</v>
      </c>
      <c r="G154">
        <v>4</v>
      </c>
      <c r="H154">
        <v>149009</v>
      </c>
      <c r="I154">
        <v>103896</v>
      </c>
      <c r="J154">
        <v>596036</v>
      </c>
      <c r="K154">
        <v>415584</v>
      </c>
      <c r="L154">
        <v>14695</v>
      </c>
      <c r="M154">
        <v>10000</v>
      </c>
      <c r="N154">
        <v>2000</v>
      </c>
      <c r="O154">
        <v>442279</v>
      </c>
      <c r="P154">
        <v>153757</v>
      </c>
      <c r="Q154">
        <v>2026</v>
      </c>
      <c r="R154">
        <v>1</v>
      </c>
      <c r="S154" s="4" t="s">
        <v>326</v>
      </c>
      <c r="T154">
        <v>25.8</v>
      </c>
    </row>
    <row r="155" spans="1:20" x14ac:dyDescent="0.3">
      <c r="A155" s="4" t="s">
        <v>205</v>
      </c>
      <c r="B155" s="5">
        <v>46057</v>
      </c>
      <c r="C155" s="4" t="s">
        <v>49</v>
      </c>
      <c r="D155" s="4" t="s">
        <v>28</v>
      </c>
      <c r="E155" s="4" t="s">
        <v>29</v>
      </c>
      <c r="F155" s="4" t="s">
        <v>30</v>
      </c>
      <c r="G155">
        <v>5</v>
      </c>
      <c r="H155">
        <v>163672</v>
      </c>
      <c r="I155">
        <v>137190</v>
      </c>
      <c r="J155">
        <v>818360</v>
      </c>
      <c r="K155">
        <v>685950</v>
      </c>
      <c r="L155">
        <v>29014</v>
      </c>
      <c r="M155">
        <v>15000</v>
      </c>
      <c r="N155">
        <v>3000</v>
      </c>
      <c r="O155">
        <v>732964</v>
      </c>
      <c r="P155">
        <v>85396</v>
      </c>
      <c r="Q155">
        <v>2026</v>
      </c>
      <c r="R155">
        <v>2</v>
      </c>
      <c r="S155" s="4" t="s">
        <v>327</v>
      </c>
      <c r="T155">
        <v>10.44</v>
      </c>
    </row>
    <row r="156" spans="1:20" x14ac:dyDescent="0.3">
      <c r="A156" s="4" t="s">
        <v>206</v>
      </c>
      <c r="B156" s="5">
        <v>46060</v>
      </c>
      <c r="C156" s="4" t="s">
        <v>49</v>
      </c>
      <c r="D156" s="4" t="s">
        <v>39</v>
      </c>
      <c r="E156" s="4" t="s">
        <v>23</v>
      </c>
      <c r="F156" s="4" t="s">
        <v>42</v>
      </c>
      <c r="G156">
        <v>4</v>
      </c>
      <c r="H156">
        <v>30898</v>
      </c>
      <c r="I156">
        <v>20765</v>
      </c>
      <c r="J156">
        <v>123592</v>
      </c>
      <c r="K156">
        <v>83060</v>
      </c>
      <c r="L156">
        <v>8320</v>
      </c>
      <c r="M156">
        <v>10000</v>
      </c>
      <c r="N156">
        <v>8000</v>
      </c>
      <c r="O156">
        <v>109380</v>
      </c>
      <c r="P156">
        <v>14212</v>
      </c>
      <c r="Q156">
        <v>2026</v>
      </c>
      <c r="R156">
        <v>2</v>
      </c>
      <c r="S156" s="4" t="s">
        <v>327</v>
      </c>
      <c r="T156">
        <v>11.5</v>
      </c>
    </row>
    <row r="157" spans="1:20" x14ac:dyDescent="0.3">
      <c r="A157" s="4" t="s">
        <v>207</v>
      </c>
      <c r="B157" s="5">
        <v>46063</v>
      </c>
      <c r="C157" s="4" t="s">
        <v>27</v>
      </c>
      <c r="D157" s="4" t="s">
        <v>28</v>
      </c>
      <c r="E157" s="4" t="s">
        <v>29</v>
      </c>
      <c r="F157" s="4" t="s">
        <v>24</v>
      </c>
      <c r="G157">
        <v>10</v>
      </c>
      <c r="H157">
        <v>191000</v>
      </c>
      <c r="I157">
        <v>134630</v>
      </c>
      <c r="J157">
        <v>1910000</v>
      </c>
      <c r="K157">
        <v>1346300</v>
      </c>
      <c r="L157">
        <v>6607</v>
      </c>
      <c r="M157">
        <v>20000</v>
      </c>
      <c r="N157">
        <v>8000</v>
      </c>
      <c r="O157">
        <v>1380907</v>
      </c>
      <c r="P157">
        <v>529093</v>
      </c>
      <c r="Q157">
        <v>2026</v>
      </c>
      <c r="R157">
        <v>2</v>
      </c>
      <c r="S157" s="4" t="s">
        <v>327</v>
      </c>
      <c r="T157">
        <v>27.7</v>
      </c>
    </row>
    <row r="158" spans="1:20" x14ac:dyDescent="0.3">
      <c r="A158" s="4" t="s">
        <v>208</v>
      </c>
      <c r="B158" s="5">
        <v>46063</v>
      </c>
      <c r="C158" s="4" t="s">
        <v>34</v>
      </c>
      <c r="D158" s="4" t="s">
        <v>58</v>
      </c>
      <c r="E158" s="4" t="s">
        <v>29</v>
      </c>
      <c r="F158" s="4" t="s">
        <v>42</v>
      </c>
      <c r="G158">
        <v>8</v>
      </c>
      <c r="H158">
        <v>219688</v>
      </c>
      <c r="I158">
        <v>180723</v>
      </c>
      <c r="J158">
        <v>1757504</v>
      </c>
      <c r="K158">
        <v>1445784</v>
      </c>
      <c r="L158">
        <v>9221</v>
      </c>
      <c r="M158">
        <v>0</v>
      </c>
      <c r="N158">
        <v>8000</v>
      </c>
      <c r="O158">
        <v>1463005</v>
      </c>
      <c r="P158">
        <v>294499</v>
      </c>
      <c r="Q158">
        <v>2026</v>
      </c>
      <c r="R158">
        <v>2</v>
      </c>
      <c r="S158" s="4" t="s">
        <v>327</v>
      </c>
      <c r="T158">
        <v>16.760000000000002</v>
      </c>
    </row>
    <row r="159" spans="1:20" x14ac:dyDescent="0.3">
      <c r="A159" s="4" t="s">
        <v>209</v>
      </c>
      <c r="B159" s="5">
        <v>46065</v>
      </c>
      <c r="C159" s="4" t="s">
        <v>34</v>
      </c>
      <c r="D159" s="4" t="s">
        <v>28</v>
      </c>
      <c r="E159" s="4" t="s">
        <v>29</v>
      </c>
      <c r="F159" s="4" t="s">
        <v>37</v>
      </c>
      <c r="G159">
        <v>4</v>
      </c>
      <c r="H159">
        <v>179867</v>
      </c>
      <c r="I159">
        <v>123871</v>
      </c>
      <c r="J159">
        <v>719468</v>
      </c>
      <c r="K159">
        <v>495484</v>
      </c>
      <c r="L159">
        <v>13870</v>
      </c>
      <c r="M159">
        <v>15000</v>
      </c>
      <c r="N159">
        <v>10000</v>
      </c>
      <c r="O159">
        <v>534354</v>
      </c>
      <c r="P159">
        <v>185114</v>
      </c>
      <c r="Q159">
        <v>2026</v>
      </c>
      <c r="R159">
        <v>2</v>
      </c>
      <c r="S159" s="4" t="s">
        <v>327</v>
      </c>
      <c r="T159">
        <v>25.73</v>
      </c>
    </row>
    <row r="160" spans="1:20" x14ac:dyDescent="0.3">
      <c r="A160" s="4" t="s">
        <v>210</v>
      </c>
      <c r="B160" s="5">
        <v>46065</v>
      </c>
      <c r="C160" s="4" t="s">
        <v>27</v>
      </c>
      <c r="D160" s="4" t="s">
        <v>22</v>
      </c>
      <c r="E160" s="4" t="s">
        <v>23</v>
      </c>
      <c r="F160" s="4" t="s">
        <v>45</v>
      </c>
      <c r="G160">
        <v>14</v>
      </c>
      <c r="H160">
        <v>24650</v>
      </c>
      <c r="I160">
        <v>14339</v>
      </c>
      <c r="J160">
        <v>345100</v>
      </c>
      <c r="K160">
        <v>200746</v>
      </c>
      <c r="L160">
        <v>22485</v>
      </c>
      <c r="M160">
        <v>15000</v>
      </c>
      <c r="N160">
        <v>5000</v>
      </c>
      <c r="O160">
        <v>243231</v>
      </c>
      <c r="P160">
        <v>101869</v>
      </c>
      <c r="Q160">
        <v>2026</v>
      </c>
      <c r="R160">
        <v>2</v>
      </c>
      <c r="S160" s="4" t="s">
        <v>327</v>
      </c>
      <c r="T160">
        <v>29.52</v>
      </c>
    </row>
    <row r="161" spans="1:20" x14ac:dyDescent="0.3">
      <c r="A161" s="4" t="s">
        <v>211</v>
      </c>
      <c r="B161" s="5">
        <v>46065</v>
      </c>
      <c r="C161" s="4" t="s">
        <v>21</v>
      </c>
      <c r="D161" s="4" t="s">
        <v>28</v>
      </c>
      <c r="E161" s="4" t="s">
        <v>29</v>
      </c>
      <c r="F161" s="4" t="s">
        <v>40</v>
      </c>
      <c r="G161">
        <v>2</v>
      </c>
      <c r="H161">
        <v>185390</v>
      </c>
      <c r="I161">
        <v>135286</v>
      </c>
      <c r="J161">
        <v>370780</v>
      </c>
      <c r="K161">
        <v>270572</v>
      </c>
      <c r="L161">
        <v>10004</v>
      </c>
      <c r="M161">
        <v>5000</v>
      </c>
      <c r="N161">
        <v>10000</v>
      </c>
      <c r="O161">
        <v>295576</v>
      </c>
      <c r="P161">
        <v>75204</v>
      </c>
      <c r="Q161">
        <v>2026</v>
      </c>
      <c r="R161">
        <v>2</v>
      </c>
      <c r="S161" s="4" t="s">
        <v>327</v>
      </c>
      <c r="T161">
        <v>20.28</v>
      </c>
    </row>
    <row r="162" spans="1:20" x14ac:dyDescent="0.3">
      <c r="A162" s="4" t="s">
        <v>212</v>
      </c>
      <c r="B162" s="5">
        <v>46073</v>
      </c>
      <c r="C162" s="4" t="s">
        <v>49</v>
      </c>
      <c r="D162" s="4" t="s">
        <v>28</v>
      </c>
      <c r="E162" s="4" t="s">
        <v>29</v>
      </c>
      <c r="F162" s="4" t="s">
        <v>30</v>
      </c>
      <c r="G162">
        <v>2</v>
      </c>
      <c r="H162">
        <v>169763</v>
      </c>
      <c r="I162">
        <v>125761</v>
      </c>
      <c r="J162">
        <v>339526</v>
      </c>
      <c r="K162">
        <v>251522</v>
      </c>
      <c r="L162">
        <v>23274</v>
      </c>
      <c r="M162">
        <v>15000</v>
      </c>
      <c r="N162">
        <v>8000</v>
      </c>
      <c r="O162">
        <v>297796</v>
      </c>
      <c r="P162">
        <v>41730</v>
      </c>
      <c r="Q162">
        <v>2026</v>
      </c>
      <c r="R162">
        <v>2</v>
      </c>
      <c r="S162" s="4" t="s">
        <v>327</v>
      </c>
      <c r="T162">
        <v>12.29</v>
      </c>
    </row>
    <row r="163" spans="1:20" x14ac:dyDescent="0.3">
      <c r="A163" s="4" t="s">
        <v>213</v>
      </c>
      <c r="B163" s="5">
        <v>46073</v>
      </c>
      <c r="C163" s="4" t="s">
        <v>32</v>
      </c>
      <c r="D163" s="4" t="s">
        <v>56</v>
      </c>
      <c r="E163" s="4" t="s">
        <v>36</v>
      </c>
      <c r="F163" s="4" t="s">
        <v>24</v>
      </c>
      <c r="G163">
        <v>6</v>
      </c>
      <c r="H163">
        <v>134252</v>
      </c>
      <c r="I163">
        <v>107480</v>
      </c>
      <c r="J163">
        <v>805512</v>
      </c>
      <c r="K163">
        <v>644880</v>
      </c>
      <c r="L163">
        <v>13818</v>
      </c>
      <c r="M163">
        <v>5000</v>
      </c>
      <c r="N163">
        <v>8000</v>
      </c>
      <c r="O163">
        <v>671698</v>
      </c>
      <c r="P163">
        <v>133814</v>
      </c>
      <c r="Q163">
        <v>2026</v>
      </c>
      <c r="R163">
        <v>2</v>
      </c>
      <c r="S163" s="4" t="s">
        <v>327</v>
      </c>
      <c r="T163">
        <v>16.61</v>
      </c>
    </row>
    <row r="164" spans="1:20" x14ac:dyDescent="0.3">
      <c r="A164" s="4" t="s">
        <v>214</v>
      </c>
      <c r="B164" s="5">
        <v>46076</v>
      </c>
      <c r="C164" s="4" t="s">
        <v>49</v>
      </c>
      <c r="D164" s="4" t="s">
        <v>28</v>
      </c>
      <c r="E164" s="4" t="s">
        <v>29</v>
      </c>
      <c r="F164" s="4" t="s">
        <v>42</v>
      </c>
      <c r="G164">
        <v>12</v>
      </c>
      <c r="H164">
        <v>160752</v>
      </c>
      <c r="I164">
        <v>125320</v>
      </c>
      <c r="J164">
        <v>1929024</v>
      </c>
      <c r="K164">
        <v>1503840</v>
      </c>
      <c r="L164">
        <v>23471</v>
      </c>
      <c r="M164">
        <v>15000</v>
      </c>
      <c r="N164">
        <v>3000</v>
      </c>
      <c r="O164">
        <v>1545311</v>
      </c>
      <c r="P164">
        <v>383713</v>
      </c>
      <c r="Q164">
        <v>2026</v>
      </c>
      <c r="R164">
        <v>2</v>
      </c>
      <c r="S164" s="4" t="s">
        <v>327</v>
      </c>
      <c r="T164">
        <v>19.89</v>
      </c>
    </row>
    <row r="165" spans="1:20" x14ac:dyDescent="0.3">
      <c r="A165" s="4" t="s">
        <v>215</v>
      </c>
      <c r="B165" s="5">
        <v>46078</v>
      </c>
      <c r="C165" s="4" t="s">
        <v>32</v>
      </c>
      <c r="D165" s="4" t="s">
        <v>56</v>
      </c>
      <c r="E165" s="4" t="s">
        <v>36</v>
      </c>
      <c r="F165" s="4" t="s">
        <v>45</v>
      </c>
      <c r="G165">
        <v>2</v>
      </c>
      <c r="H165">
        <v>135014</v>
      </c>
      <c r="I165">
        <v>103412</v>
      </c>
      <c r="J165">
        <v>270028</v>
      </c>
      <c r="K165">
        <v>206824</v>
      </c>
      <c r="L165">
        <v>9288</v>
      </c>
      <c r="M165">
        <v>15000</v>
      </c>
      <c r="N165">
        <v>8000</v>
      </c>
      <c r="O165">
        <v>239112</v>
      </c>
      <c r="P165">
        <v>30916</v>
      </c>
      <c r="Q165">
        <v>2026</v>
      </c>
      <c r="R165">
        <v>2</v>
      </c>
      <c r="S165" s="4" t="s">
        <v>327</v>
      </c>
      <c r="T165">
        <v>11.45</v>
      </c>
    </row>
    <row r="166" spans="1:20" x14ac:dyDescent="0.3">
      <c r="A166" s="4" t="s">
        <v>216</v>
      </c>
      <c r="B166" s="5">
        <v>46079</v>
      </c>
      <c r="C166" s="4" t="s">
        <v>49</v>
      </c>
      <c r="D166" s="4" t="s">
        <v>22</v>
      </c>
      <c r="E166" s="4" t="s">
        <v>23</v>
      </c>
      <c r="F166" s="4" t="s">
        <v>37</v>
      </c>
      <c r="G166">
        <v>5</v>
      </c>
      <c r="H166">
        <v>23495</v>
      </c>
      <c r="I166">
        <v>13917</v>
      </c>
      <c r="J166">
        <v>117475</v>
      </c>
      <c r="K166">
        <v>69585</v>
      </c>
      <c r="L166">
        <v>37400</v>
      </c>
      <c r="M166">
        <v>20000</v>
      </c>
      <c r="N166">
        <v>2000</v>
      </c>
      <c r="O166">
        <v>128985</v>
      </c>
      <c r="P166">
        <v>-11510</v>
      </c>
      <c r="Q166">
        <v>2026</v>
      </c>
      <c r="R166">
        <v>2</v>
      </c>
      <c r="S166" s="4" t="s">
        <v>327</v>
      </c>
      <c r="T166">
        <v>-9.8000000000000007</v>
      </c>
    </row>
    <row r="167" spans="1:20" x14ac:dyDescent="0.3">
      <c r="A167" s="4" t="s">
        <v>217</v>
      </c>
      <c r="B167" s="5">
        <v>46081</v>
      </c>
      <c r="C167" s="4" t="s">
        <v>21</v>
      </c>
      <c r="D167" s="4" t="s">
        <v>35</v>
      </c>
      <c r="E167" s="4" t="s">
        <v>36</v>
      </c>
      <c r="F167" s="4" t="s">
        <v>30</v>
      </c>
      <c r="G167">
        <v>9</v>
      </c>
      <c r="H167">
        <v>494532</v>
      </c>
      <c r="I167">
        <v>402951</v>
      </c>
      <c r="J167">
        <v>4450788</v>
      </c>
      <c r="K167">
        <v>3626559</v>
      </c>
      <c r="L167">
        <v>31866</v>
      </c>
      <c r="M167">
        <v>15000</v>
      </c>
      <c r="N167">
        <v>2000</v>
      </c>
      <c r="O167">
        <v>3675425</v>
      </c>
      <c r="P167">
        <v>775363</v>
      </c>
      <c r="Q167">
        <v>2026</v>
      </c>
      <c r="R167">
        <v>2</v>
      </c>
      <c r="S167" s="4" t="s">
        <v>327</v>
      </c>
      <c r="T167">
        <v>17.420000000000002</v>
      </c>
    </row>
    <row r="168" spans="1:20" x14ac:dyDescent="0.3">
      <c r="A168" s="4" t="s">
        <v>218</v>
      </c>
      <c r="B168" s="5">
        <v>46083</v>
      </c>
      <c r="C168" s="4" t="s">
        <v>21</v>
      </c>
      <c r="D168" s="4" t="s">
        <v>58</v>
      </c>
      <c r="E168" s="4" t="s">
        <v>29</v>
      </c>
      <c r="F168" s="4" t="s">
        <v>24</v>
      </c>
      <c r="G168">
        <v>3</v>
      </c>
      <c r="H168">
        <v>241946</v>
      </c>
      <c r="I168">
        <v>183122</v>
      </c>
      <c r="J168">
        <v>725838</v>
      </c>
      <c r="K168">
        <v>549366</v>
      </c>
      <c r="L168">
        <v>21235</v>
      </c>
      <c r="M168">
        <v>20000</v>
      </c>
      <c r="N168">
        <v>10000</v>
      </c>
      <c r="O168">
        <v>600601</v>
      </c>
      <c r="P168">
        <v>125237</v>
      </c>
      <c r="Q168">
        <v>2026</v>
      </c>
      <c r="R168">
        <v>3</v>
      </c>
      <c r="S168" s="4" t="s">
        <v>328</v>
      </c>
      <c r="T168">
        <v>17.25</v>
      </c>
    </row>
    <row r="169" spans="1:20" x14ac:dyDescent="0.3">
      <c r="A169" s="4" t="s">
        <v>219</v>
      </c>
      <c r="B169" s="5">
        <v>46084</v>
      </c>
      <c r="C169" s="4" t="s">
        <v>27</v>
      </c>
      <c r="D169" s="4" t="s">
        <v>39</v>
      </c>
      <c r="E169" s="4" t="s">
        <v>23</v>
      </c>
      <c r="F169" s="4" t="s">
        <v>30</v>
      </c>
      <c r="G169">
        <v>8</v>
      </c>
      <c r="H169">
        <v>37256</v>
      </c>
      <c r="I169">
        <v>21210</v>
      </c>
      <c r="J169">
        <v>298048</v>
      </c>
      <c r="K169">
        <v>169680</v>
      </c>
      <c r="L169">
        <v>26034</v>
      </c>
      <c r="M169">
        <v>10000</v>
      </c>
      <c r="N169">
        <v>8000</v>
      </c>
      <c r="O169">
        <v>213714</v>
      </c>
      <c r="P169">
        <v>84334</v>
      </c>
      <c r="Q169">
        <v>2026</v>
      </c>
      <c r="R169">
        <v>3</v>
      </c>
      <c r="S169" s="4" t="s">
        <v>328</v>
      </c>
      <c r="T169">
        <v>28.3</v>
      </c>
    </row>
    <row r="170" spans="1:20" x14ac:dyDescent="0.3">
      <c r="A170" s="4" t="s">
        <v>220</v>
      </c>
      <c r="B170" s="5">
        <v>46085</v>
      </c>
      <c r="C170" s="4" t="s">
        <v>27</v>
      </c>
      <c r="D170" s="4" t="s">
        <v>58</v>
      </c>
      <c r="E170" s="4" t="s">
        <v>29</v>
      </c>
      <c r="F170" s="4" t="s">
        <v>40</v>
      </c>
      <c r="G170">
        <v>14</v>
      </c>
      <c r="H170">
        <v>238939</v>
      </c>
      <c r="I170">
        <v>175786</v>
      </c>
      <c r="J170">
        <v>3345146</v>
      </c>
      <c r="K170">
        <v>2461004</v>
      </c>
      <c r="L170">
        <v>29543</v>
      </c>
      <c r="M170">
        <v>10000</v>
      </c>
      <c r="N170">
        <v>2000</v>
      </c>
      <c r="O170">
        <v>2502547</v>
      </c>
      <c r="P170">
        <v>842599</v>
      </c>
      <c r="Q170">
        <v>2026</v>
      </c>
      <c r="R170">
        <v>3</v>
      </c>
      <c r="S170" s="4" t="s">
        <v>328</v>
      </c>
      <c r="T170">
        <v>25.19</v>
      </c>
    </row>
    <row r="171" spans="1:20" x14ac:dyDescent="0.3">
      <c r="A171" s="4" t="s">
        <v>221</v>
      </c>
      <c r="B171" s="5">
        <v>46086</v>
      </c>
      <c r="C171" s="4" t="s">
        <v>49</v>
      </c>
      <c r="D171" s="4" t="s">
        <v>58</v>
      </c>
      <c r="E171" s="4" t="s">
        <v>29</v>
      </c>
      <c r="F171" s="4" t="s">
        <v>45</v>
      </c>
      <c r="G171">
        <v>12</v>
      </c>
      <c r="H171">
        <v>211530</v>
      </c>
      <c r="I171">
        <v>175910</v>
      </c>
      <c r="J171">
        <v>2538360</v>
      </c>
      <c r="K171">
        <v>2110920</v>
      </c>
      <c r="L171">
        <v>31295</v>
      </c>
      <c r="M171">
        <v>15000</v>
      </c>
      <c r="N171">
        <v>2000</v>
      </c>
      <c r="O171">
        <v>2159215</v>
      </c>
      <c r="P171">
        <v>379145</v>
      </c>
      <c r="Q171">
        <v>2026</v>
      </c>
      <c r="R171">
        <v>3</v>
      </c>
      <c r="S171" s="4" t="s">
        <v>328</v>
      </c>
      <c r="T171">
        <v>14.94</v>
      </c>
    </row>
    <row r="172" spans="1:20" x14ac:dyDescent="0.3">
      <c r="A172" s="4" t="s">
        <v>222</v>
      </c>
      <c r="B172" s="5">
        <v>46090</v>
      </c>
      <c r="C172" s="4" t="s">
        <v>27</v>
      </c>
      <c r="D172" s="4" t="s">
        <v>35</v>
      </c>
      <c r="E172" s="4" t="s">
        <v>36</v>
      </c>
      <c r="F172" s="4" t="s">
        <v>45</v>
      </c>
      <c r="G172">
        <v>2</v>
      </c>
      <c r="H172">
        <v>504717</v>
      </c>
      <c r="I172">
        <v>392180</v>
      </c>
      <c r="J172">
        <v>1009434</v>
      </c>
      <c r="K172">
        <v>784360</v>
      </c>
      <c r="L172">
        <v>5869</v>
      </c>
      <c r="M172">
        <v>20000</v>
      </c>
      <c r="N172">
        <v>3000</v>
      </c>
      <c r="O172">
        <v>813229</v>
      </c>
      <c r="P172">
        <v>196205</v>
      </c>
      <c r="Q172">
        <v>2026</v>
      </c>
      <c r="R172">
        <v>3</v>
      </c>
      <c r="S172" s="4" t="s">
        <v>328</v>
      </c>
      <c r="T172">
        <v>19.440000000000001</v>
      </c>
    </row>
    <row r="173" spans="1:20" x14ac:dyDescent="0.3">
      <c r="A173" s="4" t="s">
        <v>223</v>
      </c>
      <c r="B173" s="5">
        <v>46091</v>
      </c>
      <c r="C173" s="4" t="s">
        <v>34</v>
      </c>
      <c r="D173" s="4" t="s">
        <v>39</v>
      </c>
      <c r="E173" s="4" t="s">
        <v>23</v>
      </c>
      <c r="F173" s="4" t="s">
        <v>30</v>
      </c>
      <c r="G173">
        <v>1</v>
      </c>
      <c r="H173">
        <v>32249</v>
      </c>
      <c r="I173">
        <v>20366</v>
      </c>
      <c r="J173">
        <v>32249</v>
      </c>
      <c r="K173">
        <v>20366</v>
      </c>
      <c r="L173">
        <v>15022</v>
      </c>
      <c r="M173">
        <v>10000</v>
      </c>
      <c r="N173">
        <v>8000</v>
      </c>
      <c r="O173">
        <v>53388</v>
      </c>
      <c r="P173">
        <v>-21139</v>
      </c>
      <c r="Q173">
        <v>2026</v>
      </c>
      <c r="R173">
        <v>3</v>
      </c>
      <c r="S173" s="4" t="s">
        <v>328</v>
      </c>
      <c r="T173">
        <v>-65.55</v>
      </c>
    </row>
    <row r="174" spans="1:20" x14ac:dyDescent="0.3">
      <c r="A174" s="4" t="s">
        <v>224</v>
      </c>
      <c r="B174" s="5">
        <v>46096</v>
      </c>
      <c r="C174" s="4" t="s">
        <v>49</v>
      </c>
      <c r="D174" s="4" t="s">
        <v>58</v>
      </c>
      <c r="E174" s="4" t="s">
        <v>29</v>
      </c>
      <c r="F174" s="4" t="s">
        <v>24</v>
      </c>
      <c r="G174">
        <v>3</v>
      </c>
      <c r="H174">
        <v>206834</v>
      </c>
      <c r="I174">
        <v>173548</v>
      </c>
      <c r="J174">
        <v>620502</v>
      </c>
      <c r="K174">
        <v>520644</v>
      </c>
      <c r="L174">
        <v>14919</v>
      </c>
      <c r="M174">
        <v>15000</v>
      </c>
      <c r="N174">
        <v>5000</v>
      </c>
      <c r="O174">
        <v>555563</v>
      </c>
      <c r="P174">
        <v>64939</v>
      </c>
      <c r="Q174">
        <v>2026</v>
      </c>
      <c r="R174">
        <v>3</v>
      </c>
      <c r="S174" s="4" t="s">
        <v>328</v>
      </c>
      <c r="T174">
        <v>10.47</v>
      </c>
    </row>
    <row r="175" spans="1:20" x14ac:dyDescent="0.3">
      <c r="A175" s="4" t="s">
        <v>225</v>
      </c>
      <c r="B175" s="5">
        <v>46096</v>
      </c>
      <c r="C175" s="4" t="s">
        <v>34</v>
      </c>
      <c r="D175" s="4" t="s">
        <v>22</v>
      </c>
      <c r="E175" s="4" t="s">
        <v>23</v>
      </c>
      <c r="F175" s="4" t="s">
        <v>37</v>
      </c>
      <c r="G175">
        <v>2</v>
      </c>
      <c r="H175">
        <v>23502</v>
      </c>
      <c r="I175">
        <v>13825</v>
      </c>
      <c r="J175">
        <v>47004</v>
      </c>
      <c r="K175">
        <v>27650</v>
      </c>
      <c r="L175">
        <v>23455</v>
      </c>
      <c r="M175">
        <v>15000</v>
      </c>
      <c r="N175">
        <v>2000</v>
      </c>
      <c r="O175">
        <v>68105</v>
      </c>
      <c r="P175">
        <v>-21101</v>
      </c>
      <c r="Q175">
        <v>2026</v>
      </c>
      <c r="R175">
        <v>3</v>
      </c>
      <c r="S175" s="4" t="s">
        <v>328</v>
      </c>
      <c r="T175">
        <v>-44.89</v>
      </c>
    </row>
    <row r="176" spans="1:20" x14ac:dyDescent="0.3">
      <c r="A176" s="4" t="s">
        <v>226</v>
      </c>
      <c r="B176" s="5">
        <v>46099</v>
      </c>
      <c r="C176" s="4" t="s">
        <v>49</v>
      </c>
      <c r="D176" s="4" t="s">
        <v>28</v>
      </c>
      <c r="E176" s="4" t="s">
        <v>29</v>
      </c>
      <c r="F176" s="4" t="s">
        <v>37</v>
      </c>
      <c r="G176">
        <v>7</v>
      </c>
      <c r="H176">
        <v>164682</v>
      </c>
      <c r="I176">
        <v>133926</v>
      </c>
      <c r="J176">
        <v>1152774</v>
      </c>
      <c r="K176">
        <v>937482</v>
      </c>
      <c r="L176">
        <v>33830</v>
      </c>
      <c r="M176">
        <v>0</v>
      </c>
      <c r="N176">
        <v>2000</v>
      </c>
      <c r="O176">
        <v>973312</v>
      </c>
      <c r="P176">
        <v>179462</v>
      </c>
      <c r="Q176">
        <v>2026</v>
      </c>
      <c r="R176">
        <v>3</v>
      </c>
      <c r="S176" s="4" t="s">
        <v>328</v>
      </c>
      <c r="T176">
        <v>15.57</v>
      </c>
    </row>
    <row r="177" spans="1:20" x14ac:dyDescent="0.3">
      <c r="A177" s="4" t="s">
        <v>227</v>
      </c>
      <c r="B177" s="5">
        <v>46102</v>
      </c>
      <c r="C177" s="4" t="s">
        <v>34</v>
      </c>
      <c r="D177" s="4" t="s">
        <v>28</v>
      </c>
      <c r="E177" s="4" t="s">
        <v>29</v>
      </c>
      <c r="F177" s="4" t="s">
        <v>24</v>
      </c>
      <c r="G177">
        <v>7</v>
      </c>
      <c r="H177">
        <v>171563</v>
      </c>
      <c r="I177">
        <v>130813</v>
      </c>
      <c r="J177">
        <v>1200941</v>
      </c>
      <c r="K177">
        <v>915691</v>
      </c>
      <c r="L177">
        <v>22028</v>
      </c>
      <c r="M177">
        <v>20000</v>
      </c>
      <c r="N177">
        <v>3000</v>
      </c>
      <c r="O177">
        <v>960719</v>
      </c>
      <c r="P177">
        <v>240222</v>
      </c>
      <c r="Q177">
        <v>2026</v>
      </c>
      <c r="R177">
        <v>3</v>
      </c>
      <c r="S177" s="4" t="s">
        <v>328</v>
      </c>
      <c r="T177">
        <v>20</v>
      </c>
    </row>
    <row r="178" spans="1:20" x14ac:dyDescent="0.3">
      <c r="A178" s="4" t="s">
        <v>228</v>
      </c>
      <c r="B178" s="5">
        <v>46104</v>
      </c>
      <c r="C178" s="4" t="s">
        <v>49</v>
      </c>
      <c r="D178" s="4" t="s">
        <v>39</v>
      </c>
      <c r="E178" s="4" t="s">
        <v>23</v>
      </c>
      <c r="F178" s="4" t="s">
        <v>24</v>
      </c>
      <c r="G178">
        <v>9</v>
      </c>
      <c r="H178">
        <v>30290</v>
      </c>
      <c r="I178">
        <v>21961</v>
      </c>
      <c r="J178">
        <v>272610</v>
      </c>
      <c r="K178">
        <v>197649</v>
      </c>
      <c r="L178">
        <v>36798</v>
      </c>
      <c r="M178">
        <v>10000</v>
      </c>
      <c r="N178">
        <v>3000</v>
      </c>
      <c r="O178">
        <v>247447</v>
      </c>
      <c r="P178">
        <v>25163</v>
      </c>
      <c r="Q178">
        <v>2026</v>
      </c>
      <c r="R178">
        <v>3</v>
      </c>
      <c r="S178" s="4" t="s">
        <v>328</v>
      </c>
      <c r="T178">
        <v>9.23</v>
      </c>
    </row>
    <row r="179" spans="1:20" x14ac:dyDescent="0.3">
      <c r="A179" s="4" t="s">
        <v>229</v>
      </c>
      <c r="B179" s="5">
        <v>46105</v>
      </c>
      <c r="C179" s="4" t="s">
        <v>49</v>
      </c>
      <c r="D179" s="4" t="s">
        <v>56</v>
      </c>
      <c r="E179" s="4" t="s">
        <v>36</v>
      </c>
      <c r="F179" s="4" t="s">
        <v>24</v>
      </c>
      <c r="G179">
        <v>15</v>
      </c>
      <c r="H179">
        <v>146588</v>
      </c>
      <c r="I179">
        <v>103666</v>
      </c>
      <c r="J179">
        <v>2198820</v>
      </c>
      <c r="K179">
        <v>1554990</v>
      </c>
      <c r="L179">
        <v>13901</v>
      </c>
      <c r="M179">
        <v>15000</v>
      </c>
      <c r="N179">
        <v>8000</v>
      </c>
      <c r="O179">
        <v>1591891</v>
      </c>
      <c r="P179">
        <v>606929</v>
      </c>
      <c r="Q179">
        <v>2026</v>
      </c>
      <c r="R179">
        <v>3</v>
      </c>
      <c r="S179" s="4" t="s">
        <v>328</v>
      </c>
      <c r="T179">
        <v>27.6</v>
      </c>
    </row>
    <row r="180" spans="1:20" x14ac:dyDescent="0.3">
      <c r="A180" s="4" t="s">
        <v>230</v>
      </c>
      <c r="B180" s="5">
        <v>46106</v>
      </c>
      <c r="C180" s="4" t="s">
        <v>21</v>
      </c>
      <c r="D180" s="4" t="s">
        <v>35</v>
      </c>
      <c r="E180" s="4" t="s">
        <v>36</v>
      </c>
      <c r="F180" s="4" t="s">
        <v>40</v>
      </c>
      <c r="G180">
        <v>2</v>
      </c>
      <c r="H180">
        <v>485741</v>
      </c>
      <c r="I180">
        <v>398177</v>
      </c>
      <c r="J180">
        <v>971482</v>
      </c>
      <c r="K180">
        <v>796354</v>
      </c>
      <c r="L180">
        <v>21082</v>
      </c>
      <c r="M180">
        <v>15000</v>
      </c>
      <c r="N180">
        <v>10000</v>
      </c>
      <c r="O180">
        <v>842436</v>
      </c>
      <c r="P180">
        <v>129046</v>
      </c>
      <c r="Q180">
        <v>2026</v>
      </c>
      <c r="R180">
        <v>3</v>
      </c>
      <c r="S180" s="4" t="s">
        <v>328</v>
      </c>
      <c r="T180">
        <v>13.28</v>
      </c>
    </row>
    <row r="181" spans="1:20" x14ac:dyDescent="0.3">
      <c r="A181" s="4" t="s">
        <v>231</v>
      </c>
      <c r="B181" s="5">
        <v>46106</v>
      </c>
      <c r="C181" s="4" t="s">
        <v>49</v>
      </c>
      <c r="D181" s="4" t="s">
        <v>35</v>
      </c>
      <c r="E181" s="4" t="s">
        <v>36</v>
      </c>
      <c r="F181" s="4" t="s">
        <v>45</v>
      </c>
      <c r="G181">
        <v>6</v>
      </c>
      <c r="H181">
        <v>489616</v>
      </c>
      <c r="I181">
        <v>380690</v>
      </c>
      <c r="J181">
        <v>2937696</v>
      </c>
      <c r="K181">
        <v>2284140</v>
      </c>
      <c r="L181">
        <v>24444</v>
      </c>
      <c r="M181">
        <v>20000</v>
      </c>
      <c r="N181">
        <v>5000</v>
      </c>
      <c r="O181">
        <v>2333584</v>
      </c>
      <c r="P181">
        <v>604112</v>
      </c>
      <c r="Q181">
        <v>2026</v>
      </c>
      <c r="R181">
        <v>3</v>
      </c>
      <c r="S181" s="4" t="s">
        <v>328</v>
      </c>
      <c r="T181">
        <v>20.56</v>
      </c>
    </row>
    <row r="182" spans="1:20" x14ac:dyDescent="0.3">
      <c r="A182" s="4" t="s">
        <v>232</v>
      </c>
      <c r="B182" s="5">
        <v>46110</v>
      </c>
      <c r="C182" s="4" t="s">
        <v>32</v>
      </c>
      <c r="D182" s="4" t="s">
        <v>28</v>
      </c>
      <c r="E182" s="4" t="s">
        <v>29</v>
      </c>
      <c r="F182" s="4" t="s">
        <v>30</v>
      </c>
      <c r="G182">
        <v>5</v>
      </c>
      <c r="H182">
        <v>174183</v>
      </c>
      <c r="I182">
        <v>129568</v>
      </c>
      <c r="J182">
        <v>870915</v>
      </c>
      <c r="K182">
        <v>647840</v>
      </c>
      <c r="L182">
        <v>16494</v>
      </c>
      <c r="M182">
        <v>15000</v>
      </c>
      <c r="N182">
        <v>5000</v>
      </c>
      <c r="O182">
        <v>684334</v>
      </c>
      <c r="P182">
        <v>186581</v>
      </c>
      <c r="Q182">
        <v>2026</v>
      </c>
      <c r="R182">
        <v>3</v>
      </c>
      <c r="S182" s="4" t="s">
        <v>328</v>
      </c>
      <c r="T182">
        <v>21.42</v>
      </c>
    </row>
    <row r="183" spans="1:20" x14ac:dyDescent="0.3">
      <c r="A183" s="4" t="s">
        <v>233</v>
      </c>
      <c r="B183" s="5">
        <v>46110</v>
      </c>
      <c r="C183" s="4" t="s">
        <v>49</v>
      </c>
      <c r="D183" s="4" t="s">
        <v>39</v>
      </c>
      <c r="E183" s="4" t="s">
        <v>23</v>
      </c>
      <c r="F183" s="4" t="s">
        <v>40</v>
      </c>
      <c r="G183">
        <v>9</v>
      </c>
      <c r="H183">
        <v>29982</v>
      </c>
      <c r="I183">
        <v>20124</v>
      </c>
      <c r="J183">
        <v>269838</v>
      </c>
      <c r="K183">
        <v>181116</v>
      </c>
      <c r="L183">
        <v>34554</v>
      </c>
      <c r="M183">
        <v>5000</v>
      </c>
      <c r="N183">
        <v>10000</v>
      </c>
      <c r="O183">
        <v>230670</v>
      </c>
      <c r="P183">
        <v>39168</v>
      </c>
      <c r="Q183">
        <v>2026</v>
      </c>
      <c r="R183">
        <v>3</v>
      </c>
      <c r="S183" s="4" t="s">
        <v>328</v>
      </c>
      <c r="T183">
        <v>14.52</v>
      </c>
    </row>
    <row r="184" spans="1:20" x14ac:dyDescent="0.3">
      <c r="A184" s="4" t="s">
        <v>234</v>
      </c>
      <c r="B184" s="5">
        <v>46112</v>
      </c>
      <c r="C184" s="4" t="s">
        <v>21</v>
      </c>
      <c r="D184" s="4" t="s">
        <v>56</v>
      </c>
      <c r="E184" s="4" t="s">
        <v>36</v>
      </c>
      <c r="F184" s="4" t="s">
        <v>40</v>
      </c>
      <c r="G184">
        <v>14</v>
      </c>
      <c r="H184">
        <v>142672</v>
      </c>
      <c r="I184">
        <v>111080</v>
      </c>
      <c r="J184">
        <v>1997408</v>
      </c>
      <c r="K184">
        <v>1555120</v>
      </c>
      <c r="L184">
        <v>21295</v>
      </c>
      <c r="M184">
        <v>20000</v>
      </c>
      <c r="N184">
        <v>5000</v>
      </c>
      <c r="O184">
        <v>1601415</v>
      </c>
      <c r="P184">
        <v>395993</v>
      </c>
      <c r="Q184">
        <v>2026</v>
      </c>
      <c r="R184">
        <v>3</v>
      </c>
      <c r="S184" s="4" t="s">
        <v>328</v>
      </c>
      <c r="T184">
        <v>19.829999999999998</v>
      </c>
    </row>
    <row r="185" spans="1:20" x14ac:dyDescent="0.3">
      <c r="A185" s="4" t="s">
        <v>235</v>
      </c>
      <c r="B185" s="5">
        <v>46112</v>
      </c>
      <c r="C185" s="4" t="s">
        <v>27</v>
      </c>
      <c r="D185" s="4" t="s">
        <v>35</v>
      </c>
      <c r="E185" s="4" t="s">
        <v>36</v>
      </c>
      <c r="F185" s="4" t="s">
        <v>42</v>
      </c>
      <c r="G185">
        <v>6</v>
      </c>
      <c r="H185">
        <v>533084</v>
      </c>
      <c r="I185">
        <v>373318</v>
      </c>
      <c r="J185">
        <v>3198504</v>
      </c>
      <c r="K185">
        <v>2239908</v>
      </c>
      <c r="L185">
        <v>14011</v>
      </c>
      <c r="M185">
        <v>20000</v>
      </c>
      <c r="N185">
        <v>10000</v>
      </c>
      <c r="O185">
        <v>2283919</v>
      </c>
      <c r="P185">
        <v>914585</v>
      </c>
      <c r="Q185">
        <v>2026</v>
      </c>
      <c r="R185">
        <v>3</v>
      </c>
      <c r="S185" s="4" t="s">
        <v>328</v>
      </c>
      <c r="T185">
        <v>28.59</v>
      </c>
    </row>
    <row r="186" spans="1:20" x14ac:dyDescent="0.3">
      <c r="A186" s="4" t="s">
        <v>236</v>
      </c>
      <c r="B186" s="5">
        <v>46112</v>
      </c>
      <c r="C186" s="4" t="s">
        <v>49</v>
      </c>
      <c r="D186" s="4" t="s">
        <v>28</v>
      </c>
      <c r="E186" s="4" t="s">
        <v>29</v>
      </c>
      <c r="F186" s="4" t="s">
        <v>45</v>
      </c>
      <c r="G186">
        <v>1</v>
      </c>
      <c r="H186">
        <v>170639</v>
      </c>
      <c r="I186">
        <v>136536</v>
      </c>
      <c r="J186">
        <v>170639</v>
      </c>
      <c r="K186">
        <v>136536</v>
      </c>
      <c r="L186">
        <v>31434</v>
      </c>
      <c r="M186">
        <v>15000</v>
      </c>
      <c r="N186">
        <v>5000</v>
      </c>
      <c r="O186">
        <v>187970</v>
      </c>
      <c r="P186">
        <v>-17331</v>
      </c>
      <c r="Q186">
        <v>2026</v>
      </c>
      <c r="R186">
        <v>3</v>
      </c>
      <c r="S186" s="4" t="s">
        <v>328</v>
      </c>
      <c r="T186">
        <v>-10.16</v>
      </c>
    </row>
    <row r="187" spans="1:20" x14ac:dyDescent="0.3">
      <c r="A187" s="4" t="s">
        <v>237</v>
      </c>
      <c r="B187" s="5">
        <v>46114</v>
      </c>
      <c r="C187" s="4" t="s">
        <v>49</v>
      </c>
      <c r="D187" s="4" t="s">
        <v>58</v>
      </c>
      <c r="E187" s="4" t="s">
        <v>29</v>
      </c>
      <c r="F187" s="4" t="s">
        <v>37</v>
      </c>
      <c r="G187">
        <v>8</v>
      </c>
      <c r="H187">
        <v>213221</v>
      </c>
      <c r="I187">
        <v>171009</v>
      </c>
      <c r="J187">
        <v>1705768</v>
      </c>
      <c r="K187">
        <v>1368072</v>
      </c>
      <c r="L187">
        <v>32368</v>
      </c>
      <c r="M187">
        <v>10000</v>
      </c>
      <c r="N187">
        <v>10000</v>
      </c>
      <c r="O187">
        <v>1420440</v>
      </c>
      <c r="P187">
        <v>285328</v>
      </c>
      <c r="Q187">
        <v>2026</v>
      </c>
      <c r="R187">
        <v>4</v>
      </c>
      <c r="S187" s="4" t="s">
        <v>329</v>
      </c>
      <c r="T187">
        <v>16.73</v>
      </c>
    </row>
    <row r="188" spans="1:20" x14ac:dyDescent="0.3">
      <c r="A188" s="4" t="s">
        <v>238</v>
      </c>
      <c r="B188" s="5">
        <v>46117</v>
      </c>
      <c r="C188" s="4" t="s">
        <v>32</v>
      </c>
      <c r="D188" s="4" t="s">
        <v>58</v>
      </c>
      <c r="E188" s="4" t="s">
        <v>29</v>
      </c>
      <c r="F188" s="4" t="s">
        <v>45</v>
      </c>
      <c r="G188">
        <v>4</v>
      </c>
      <c r="H188">
        <v>221838</v>
      </c>
      <c r="I188">
        <v>181816</v>
      </c>
      <c r="J188">
        <v>887352</v>
      </c>
      <c r="K188">
        <v>727264</v>
      </c>
      <c r="L188">
        <v>25460</v>
      </c>
      <c r="M188">
        <v>5000</v>
      </c>
      <c r="N188">
        <v>5000</v>
      </c>
      <c r="O188">
        <v>762724</v>
      </c>
      <c r="P188">
        <v>124628</v>
      </c>
      <c r="Q188">
        <v>2026</v>
      </c>
      <c r="R188">
        <v>4</v>
      </c>
      <c r="S188" s="4" t="s">
        <v>329</v>
      </c>
      <c r="T188">
        <v>14.04</v>
      </c>
    </row>
    <row r="189" spans="1:20" x14ac:dyDescent="0.3">
      <c r="A189" s="4" t="s">
        <v>239</v>
      </c>
      <c r="B189" s="5">
        <v>46119</v>
      </c>
      <c r="C189" s="4" t="s">
        <v>34</v>
      </c>
      <c r="D189" s="4" t="s">
        <v>39</v>
      </c>
      <c r="E189" s="4" t="s">
        <v>23</v>
      </c>
      <c r="F189" s="4" t="s">
        <v>37</v>
      </c>
      <c r="G189">
        <v>14</v>
      </c>
      <c r="H189">
        <v>35104</v>
      </c>
      <c r="I189">
        <v>21522</v>
      </c>
      <c r="J189">
        <v>491456</v>
      </c>
      <c r="K189">
        <v>301308</v>
      </c>
      <c r="L189">
        <v>11116</v>
      </c>
      <c r="M189">
        <v>5000</v>
      </c>
      <c r="N189">
        <v>2000</v>
      </c>
      <c r="O189">
        <v>319424</v>
      </c>
      <c r="P189">
        <v>172032</v>
      </c>
      <c r="Q189">
        <v>2026</v>
      </c>
      <c r="R189">
        <v>4</v>
      </c>
      <c r="S189" s="4" t="s">
        <v>329</v>
      </c>
      <c r="T189">
        <v>35</v>
      </c>
    </row>
    <row r="190" spans="1:20" x14ac:dyDescent="0.3">
      <c r="A190" s="4" t="s">
        <v>240</v>
      </c>
      <c r="B190" s="5">
        <v>46127</v>
      </c>
      <c r="C190" s="4" t="s">
        <v>27</v>
      </c>
      <c r="D190" s="4" t="s">
        <v>22</v>
      </c>
      <c r="E190" s="4" t="s">
        <v>23</v>
      </c>
      <c r="F190" s="4" t="s">
        <v>45</v>
      </c>
      <c r="G190">
        <v>1</v>
      </c>
      <c r="H190">
        <v>26995</v>
      </c>
      <c r="I190">
        <v>14605</v>
      </c>
      <c r="J190">
        <v>26995</v>
      </c>
      <c r="K190">
        <v>14605</v>
      </c>
      <c r="L190">
        <v>18968</v>
      </c>
      <c r="M190">
        <v>0</v>
      </c>
      <c r="N190">
        <v>8000</v>
      </c>
      <c r="O190">
        <v>41573</v>
      </c>
      <c r="P190">
        <v>-14578</v>
      </c>
      <c r="Q190">
        <v>2026</v>
      </c>
      <c r="R190">
        <v>4</v>
      </c>
      <c r="S190" s="4" t="s">
        <v>329</v>
      </c>
      <c r="T190">
        <v>-54</v>
      </c>
    </row>
    <row r="191" spans="1:20" x14ac:dyDescent="0.3">
      <c r="A191" s="4" t="s">
        <v>241</v>
      </c>
      <c r="B191" s="5">
        <v>46128</v>
      </c>
      <c r="C191" s="4" t="s">
        <v>34</v>
      </c>
      <c r="D191" s="4" t="s">
        <v>39</v>
      </c>
      <c r="E191" s="4" t="s">
        <v>23</v>
      </c>
      <c r="F191" s="4" t="s">
        <v>37</v>
      </c>
      <c r="G191">
        <v>9</v>
      </c>
      <c r="H191">
        <v>32211</v>
      </c>
      <c r="I191">
        <v>21733</v>
      </c>
      <c r="J191">
        <v>289899</v>
      </c>
      <c r="K191">
        <v>195597</v>
      </c>
      <c r="L191">
        <v>35779</v>
      </c>
      <c r="M191">
        <v>10000</v>
      </c>
      <c r="N191">
        <v>10000</v>
      </c>
      <c r="O191">
        <v>251376</v>
      </c>
      <c r="P191">
        <v>38523</v>
      </c>
      <c r="Q191">
        <v>2026</v>
      </c>
      <c r="R191">
        <v>4</v>
      </c>
      <c r="S191" s="4" t="s">
        <v>329</v>
      </c>
      <c r="T191">
        <v>13.29</v>
      </c>
    </row>
    <row r="192" spans="1:20" x14ac:dyDescent="0.3">
      <c r="A192" s="4" t="s">
        <v>242</v>
      </c>
      <c r="B192" s="5">
        <v>46133</v>
      </c>
      <c r="C192" s="4" t="s">
        <v>34</v>
      </c>
      <c r="D192" s="4" t="s">
        <v>22</v>
      </c>
      <c r="E192" s="4" t="s">
        <v>23</v>
      </c>
      <c r="F192" s="4" t="s">
        <v>40</v>
      </c>
      <c r="G192">
        <v>11</v>
      </c>
      <c r="H192">
        <v>23184</v>
      </c>
      <c r="I192">
        <v>13515</v>
      </c>
      <c r="J192">
        <v>255024</v>
      </c>
      <c r="K192">
        <v>148665</v>
      </c>
      <c r="L192">
        <v>7774</v>
      </c>
      <c r="M192">
        <v>10000</v>
      </c>
      <c r="N192">
        <v>8000</v>
      </c>
      <c r="O192">
        <v>174439</v>
      </c>
      <c r="P192">
        <v>80585</v>
      </c>
      <c r="Q192">
        <v>2026</v>
      </c>
      <c r="R192">
        <v>4</v>
      </c>
      <c r="S192" s="4" t="s">
        <v>329</v>
      </c>
      <c r="T192">
        <v>31.6</v>
      </c>
    </row>
    <row r="193" spans="1:20" x14ac:dyDescent="0.3">
      <c r="A193" s="4" t="s">
        <v>243</v>
      </c>
      <c r="B193" s="5">
        <v>46139</v>
      </c>
      <c r="C193" s="4" t="s">
        <v>32</v>
      </c>
      <c r="D193" s="4" t="s">
        <v>28</v>
      </c>
      <c r="E193" s="4" t="s">
        <v>29</v>
      </c>
      <c r="F193" s="4" t="s">
        <v>24</v>
      </c>
      <c r="G193">
        <v>1</v>
      </c>
      <c r="H193">
        <v>179116</v>
      </c>
      <c r="I193">
        <v>129662</v>
      </c>
      <c r="J193">
        <v>179116</v>
      </c>
      <c r="K193">
        <v>129662</v>
      </c>
      <c r="L193">
        <v>17082</v>
      </c>
      <c r="M193">
        <v>10000</v>
      </c>
      <c r="N193">
        <v>8000</v>
      </c>
      <c r="O193">
        <v>164744</v>
      </c>
      <c r="P193">
        <v>14372</v>
      </c>
      <c r="Q193">
        <v>2026</v>
      </c>
      <c r="R193">
        <v>4</v>
      </c>
      <c r="S193" s="4" t="s">
        <v>329</v>
      </c>
      <c r="T193">
        <v>8.02</v>
      </c>
    </row>
    <row r="194" spans="1:20" x14ac:dyDescent="0.3">
      <c r="A194" s="4" t="s">
        <v>244</v>
      </c>
      <c r="B194" s="5">
        <v>46141</v>
      </c>
      <c r="C194" s="4" t="s">
        <v>49</v>
      </c>
      <c r="D194" s="4" t="s">
        <v>58</v>
      </c>
      <c r="E194" s="4" t="s">
        <v>29</v>
      </c>
      <c r="F194" s="4" t="s">
        <v>40</v>
      </c>
      <c r="G194">
        <v>9</v>
      </c>
      <c r="H194">
        <v>209719</v>
      </c>
      <c r="I194">
        <v>169919</v>
      </c>
      <c r="J194">
        <v>1887471</v>
      </c>
      <c r="K194">
        <v>1529271</v>
      </c>
      <c r="L194">
        <v>30800</v>
      </c>
      <c r="M194">
        <v>20000</v>
      </c>
      <c r="N194">
        <v>3000</v>
      </c>
      <c r="O194">
        <v>1583071</v>
      </c>
      <c r="P194">
        <v>304400</v>
      </c>
      <c r="Q194">
        <v>2026</v>
      </c>
      <c r="R194">
        <v>4</v>
      </c>
      <c r="S194" s="4" t="s">
        <v>329</v>
      </c>
      <c r="T194">
        <v>16.13</v>
      </c>
    </row>
    <row r="195" spans="1:20" x14ac:dyDescent="0.3">
      <c r="A195" s="4" t="s">
        <v>245</v>
      </c>
      <c r="B195" s="5">
        <v>46141</v>
      </c>
      <c r="C195" s="4" t="s">
        <v>21</v>
      </c>
      <c r="D195" s="4" t="s">
        <v>22</v>
      </c>
      <c r="E195" s="4" t="s">
        <v>23</v>
      </c>
      <c r="F195" s="4" t="s">
        <v>24</v>
      </c>
      <c r="G195">
        <v>13</v>
      </c>
      <c r="H195">
        <v>24931</v>
      </c>
      <c r="I195">
        <v>13991</v>
      </c>
      <c r="J195">
        <v>324103</v>
      </c>
      <c r="K195">
        <v>181883</v>
      </c>
      <c r="L195">
        <v>6465</v>
      </c>
      <c r="M195">
        <v>0</v>
      </c>
      <c r="N195">
        <v>2000</v>
      </c>
      <c r="O195">
        <v>190348</v>
      </c>
      <c r="P195">
        <v>133755</v>
      </c>
      <c r="Q195">
        <v>2026</v>
      </c>
      <c r="R195">
        <v>4</v>
      </c>
      <c r="S195" s="4" t="s">
        <v>329</v>
      </c>
      <c r="T195">
        <v>41.27</v>
      </c>
    </row>
    <row r="196" spans="1:20" x14ac:dyDescent="0.3">
      <c r="A196" s="4" t="s">
        <v>246</v>
      </c>
      <c r="B196" s="5">
        <v>46144</v>
      </c>
      <c r="C196" s="4" t="s">
        <v>21</v>
      </c>
      <c r="D196" s="4" t="s">
        <v>39</v>
      </c>
      <c r="E196" s="4" t="s">
        <v>23</v>
      </c>
      <c r="F196" s="4" t="s">
        <v>45</v>
      </c>
      <c r="G196">
        <v>5</v>
      </c>
      <c r="H196">
        <v>34066</v>
      </c>
      <c r="I196">
        <v>21351</v>
      </c>
      <c r="J196">
        <v>170330</v>
      </c>
      <c r="K196">
        <v>106755</v>
      </c>
      <c r="L196">
        <v>14925</v>
      </c>
      <c r="M196">
        <v>20000</v>
      </c>
      <c r="N196">
        <v>3000</v>
      </c>
      <c r="O196">
        <v>144680</v>
      </c>
      <c r="P196">
        <v>25650</v>
      </c>
      <c r="Q196">
        <v>2026</v>
      </c>
      <c r="R196">
        <v>5</v>
      </c>
      <c r="S196" s="4" t="s">
        <v>330</v>
      </c>
      <c r="T196">
        <v>15.06</v>
      </c>
    </row>
    <row r="197" spans="1:20" x14ac:dyDescent="0.3">
      <c r="A197" s="4" t="s">
        <v>247</v>
      </c>
      <c r="B197" s="5">
        <v>46146</v>
      </c>
      <c r="C197" s="4" t="s">
        <v>32</v>
      </c>
      <c r="D197" s="4" t="s">
        <v>39</v>
      </c>
      <c r="E197" s="4" t="s">
        <v>23</v>
      </c>
      <c r="F197" s="4" t="s">
        <v>40</v>
      </c>
      <c r="G197">
        <v>3</v>
      </c>
      <c r="H197">
        <v>31188</v>
      </c>
      <c r="I197">
        <v>21123</v>
      </c>
      <c r="J197">
        <v>93564</v>
      </c>
      <c r="K197">
        <v>63369</v>
      </c>
      <c r="L197">
        <v>13861</v>
      </c>
      <c r="M197">
        <v>0</v>
      </c>
      <c r="N197">
        <v>10000</v>
      </c>
      <c r="O197">
        <v>87230</v>
      </c>
      <c r="P197">
        <v>6334</v>
      </c>
      <c r="Q197">
        <v>2026</v>
      </c>
      <c r="R197">
        <v>5</v>
      </c>
      <c r="S197" s="4" t="s">
        <v>330</v>
      </c>
      <c r="T197">
        <v>6.77</v>
      </c>
    </row>
    <row r="198" spans="1:20" x14ac:dyDescent="0.3">
      <c r="A198" s="4" t="s">
        <v>248</v>
      </c>
      <c r="B198" s="5">
        <v>46146</v>
      </c>
      <c r="C198" s="4" t="s">
        <v>34</v>
      </c>
      <c r="D198" s="4" t="s">
        <v>35</v>
      </c>
      <c r="E198" s="4" t="s">
        <v>36</v>
      </c>
      <c r="F198" s="4" t="s">
        <v>42</v>
      </c>
      <c r="G198">
        <v>5</v>
      </c>
      <c r="H198">
        <v>505597</v>
      </c>
      <c r="I198">
        <v>407113</v>
      </c>
      <c r="J198">
        <v>2527985</v>
      </c>
      <c r="K198">
        <v>2035565</v>
      </c>
      <c r="L198">
        <v>23412</v>
      </c>
      <c r="M198">
        <v>20000</v>
      </c>
      <c r="N198">
        <v>10000</v>
      </c>
      <c r="O198">
        <v>2088977</v>
      </c>
      <c r="P198">
        <v>439008</v>
      </c>
      <c r="Q198">
        <v>2026</v>
      </c>
      <c r="R198">
        <v>5</v>
      </c>
      <c r="S198" s="4" t="s">
        <v>330</v>
      </c>
      <c r="T198">
        <v>17.37</v>
      </c>
    </row>
    <row r="199" spans="1:20" x14ac:dyDescent="0.3">
      <c r="A199" s="4" t="s">
        <v>249</v>
      </c>
      <c r="B199" s="5">
        <v>46153</v>
      </c>
      <c r="C199" s="4" t="s">
        <v>49</v>
      </c>
      <c r="D199" s="4" t="s">
        <v>56</v>
      </c>
      <c r="E199" s="4" t="s">
        <v>36</v>
      </c>
      <c r="F199" s="4" t="s">
        <v>37</v>
      </c>
      <c r="G199">
        <v>14</v>
      </c>
      <c r="H199">
        <v>142280</v>
      </c>
      <c r="I199">
        <v>102850</v>
      </c>
      <c r="J199">
        <v>1991920</v>
      </c>
      <c r="K199">
        <v>1439900</v>
      </c>
      <c r="L199">
        <v>16305</v>
      </c>
      <c r="M199">
        <v>0</v>
      </c>
      <c r="N199">
        <v>5000</v>
      </c>
      <c r="O199">
        <v>1461205</v>
      </c>
      <c r="P199">
        <v>530715</v>
      </c>
      <c r="Q199">
        <v>2026</v>
      </c>
      <c r="R199">
        <v>5</v>
      </c>
      <c r="S199" s="4" t="s">
        <v>330</v>
      </c>
      <c r="T199">
        <v>26.64</v>
      </c>
    </row>
    <row r="200" spans="1:20" x14ac:dyDescent="0.3">
      <c r="A200" s="4" t="s">
        <v>250</v>
      </c>
      <c r="B200" s="5">
        <v>46153</v>
      </c>
      <c r="C200" s="4" t="s">
        <v>32</v>
      </c>
      <c r="D200" s="4" t="s">
        <v>28</v>
      </c>
      <c r="E200" s="4" t="s">
        <v>29</v>
      </c>
      <c r="F200" s="4" t="s">
        <v>30</v>
      </c>
      <c r="G200">
        <v>13</v>
      </c>
      <c r="H200">
        <v>171476</v>
      </c>
      <c r="I200">
        <v>127547</v>
      </c>
      <c r="J200">
        <v>2229188</v>
      </c>
      <c r="K200">
        <v>1658111</v>
      </c>
      <c r="L200">
        <v>10368</v>
      </c>
      <c r="M200">
        <v>5000</v>
      </c>
      <c r="N200">
        <v>5000</v>
      </c>
      <c r="O200">
        <v>1678479</v>
      </c>
      <c r="P200">
        <v>550709</v>
      </c>
      <c r="Q200">
        <v>2026</v>
      </c>
      <c r="R200">
        <v>5</v>
      </c>
      <c r="S200" s="4" t="s">
        <v>330</v>
      </c>
      <c r="T200">
        <v>24.7</v>
      </c>
    </row>
    <row r="201" spans="1:20" x14ac:dyDescent="0.3">
      <c r="A201" s="4" t="s">
        <v>251</v>
      </c>
      <c r="B201" s="5">
        <v>46157</v>
      </c>
      <c r="C201" s="4" t="s">
        <v>27</v>
      </c>
      <c r="D201" s="4" t="s">
        <v>39</v>
      </c>
      <c r="E201" s="4" t="s">
        <v>23</v>
      </c>
      <c r="F201" s="4" t="s">
        <v>37</v>
      </c>
      <c r="G201">
        <v>10</v>
      </c>
      <c r="H201">
        <v>33235</v>
      </c>
      <c r="I201">
        <v>21408</v>
      </c>
      <c r="J201">
        <v>332350</v>
      </c>
      <c r="K201">
        <v>214080</v>
      </c>
      <c r="L201">
        <v>14416</v>
      </c>
      <c r="M201">
        <v>5000</v>
      </c>
      <c r="N201">
        <v>2000</v>
      </c>
      <c r="O201">
        <v>235496</v>
      </c>
      <c r="P201">
        <v>96854</v>
      </c>
      <c r="Q201">
        <v>2026</v>
      </c>
      <c r="R201">
        <v>5</v>
      </c>
      <c r="S201" s="4" t="s">
        <v>330</v>
      </c>
      <c r="T201">
        <v>29.14</v>
      </c>
    </row>
    <row r="202" spans="1:20" x14ac:dyDescent="0.3">
      <c r="A202" s="4" t="s">
        <v>252</v>
      </c>
      <c r="B202" s="5">
        <v>46158</v>
      </c>
      <c r="C202" s="4" t="s">
        <v>49</v>
      </c>
      <c r="D202" s="4" t="s">
        <v>28</v>
      </c>
      <c r="E202" s="4" t="s">
        <v>29</v>
      </c>
      <c r="F202" s="4" t="s">
        <v>40</v>
      </c>
      <c r="G202">
        <v>6</v>
      </c>
      <c r="H202">
        <v>166825</v>
      </c>
      <c r="I202">
        <v>136863</v>
      </c>
      <c r="J202">
        <v>1000950</v>
      </c>
      <c r="K202">
        <v>821178</v>
      </c>
      <c r="L202">
        <v>35809</v>
      </c>
      <c r="M202">
        <v>10000</v>
      </c>
      <c r="N202">
        <v>5000</v>
      </c>
      <c r="O202">
        <v>871987</v>
      </c>
      <c r="P202">
        <v>128963</v>
      </c>
      <c r="Q202">
        <v>2026</v>
      </c>
      <c r="R202">
        <v>5</v>
      </c>
      <c r="S202" s="4" t="s">
        <v>330</v>
      </c>
      <c r="T202">
        <v>12.88</v>
      </c>
    </row>
    <row r="203" spans="1:20" x14ac:dyDescent="0.3">
      <c r="A203" s="4" t="s">
        <v>253</v>
      </c>
      <c r="B203" s="5">
        <v>46163</v>
      </c>
      <c r="C203" s="4" t="s">
        <v>32</v>
      </c>
      <c r="D203" s="4" t="s">
        <v>56</v>
      </c>
      <c r="E203" s="4" t="s">
        <v>36</v>
      </c>
      <c r="F203" s="4" t="s">
        <v>45</v>
      </c>
      <c r="G203">
        <v>13</v>
      </c>
      <c r="H203">
        <v>143979</v>
      </c>
      <c r="I203">
        <v>107617</v>
      </c>
      <c r="J203">
        <v>1871727</v>
      </c>
      <c r="K203">
        <v>1399021</v>
      </c>
      <c r="L203">
        <v>29371</v>
      </c>
      <c r="M203">
        <v>20000</v>
      </c>
      <c r="N203">
        <v>5000</v>
      </c>
      <c r="O203">
        <v>1453392</v>
      </c>
      <c r="P203">
        <v>418335</v>
      </c>
      <c r="Q203">
        <v>2026</v>
      </c>
      <c r="R203">
        <v>5</v>
      </c>
      <c r="S203" s="4" t="s">
        <v>330</v>
      </c>
      <c r="T203">
        <v>22.35</v>
      </c>
    </row>
    <row r="204" spans="1:20" x14ac:dyDescent="0.3">
      <c r="A204" s="4" t="s">
        <v>254</v>
      </c>
      <c r="B204" s="5">
        <v>46172</v>
      </c>
      <c r="C204" s="4" t="s">
        <v>27</v>
      </c>
      <c r="D204" s="4" t="s">
        <v>35</v>
      </c>
      <c r="E204" s="4" t="s">
        <v>36</v>
      </c>
      <c r="F204" s="4" t="s">
        <v>42</v>
      </c>
      <c r="G204">
        <v>9</v>
      </c>
      <c r="H204">
        <v>499940</v>
      </c>
      <c r="I204">
        <v>377564</v>
      </c>
      <c r="J204">
        <v>4499460</v>
      </c>
      <c r="K204">
        <v>3398076</v>
      </c>
      <c r="L204">
        <v>15572</v>
      </c>
      <c r="M204">
        <v>5000</v>
      </c>
      <c r="N204">
        <v>5000</v>
      </c>
      <c r="O204">
        <v>3423648</v>
      </c>
      <c r="P204">
        <v>1075812</v>
      </c>
      <c r="Q204">
        <v>2026</v>
      </c>
      <c r="R204">
        <v>5</v>
      </c>
      <c r="S204" s="4" t="s">
        <v>330</v>
      </c>
      <c r="T204">
        <v>23.91</v>
      </c>
    </row>
    <row r="205" spans="1:20" x14ac:dyDescent="0.3">
      <c r="A205" s="4" t="s">
        <v>255</v>
      </c>
      <c r="B205" s="5">
        <v>46177</v>
      </c>
      <c r="C205" s="4" t="s">
        <v>32</v>
      </c>
      <c r="D205" s="4" t="s">
        <v>39</v>
      </c>
      <c r="E205" s="4" t="s">
        <v>23</v>
      </c>
      <c r="F205" s="4" t="s">
        <v>45</v>
      </c>
      <c r="G205">
        <v>8</v>
      </c>
      <c r="H205">
        <v>34190</v>
      </c>
      <c r="I205">
        <v>20643</v>
      </c>
      <c r="J205">
        <v>273520</v>
      </c>
      <c r="K205">
        <v>165144</v>
      </c>
      <c r="L205">
        <v>6931</v>
      </c>
      <c r="M205">
        <v>10000</v>
      </c>
      <c r="N205">
        <v>5000</v>
      </c>
      <c r="O205">
        <v>187075</v>
      </c>
      <c r="P205">
        <v>86445</v>
      </c>
      <c r="Q205">
        <v>2026</v>
      </c>
      <c r="R205">
        <v>6</v>
      </c>
      <c r="S205" s="4" t="s">
        <v>331</v>
      </c>
      <c r="T205">
        <v>31.6</v>
      </c>
    </row>
    <row r="206" spans="1:20" x14ac:dyDescent="0.3">
      <c r="A206" s="4" t="s">
        <v>256</v>
      </c>
      <c r="B206" s="5">
        <v>46177</v>
      </c>
      <c r="C206" s="4" t="s">
        <v>32</v>
      </c>
      <c r="D206" s="4" t="s">
        <v>39</v>
      </c>
      <c r="E206" s="4" t="s">
        <v>23</v>
      </c>
      <c r="F206" s="4" t="s">
        <v>24</v>
      </c>
      <c r="G206">
        <v>1</v>
      </c>
      <c r="H206">
        <v>32724</v>
      </c>
      <c r="I206">
        <v>21036</v>
      </c>
      <c r="J206">
        <v>32724</v>
      </c>
      <c r="K206">
        <v>21036</v>
      </c>
      <c r="L206">
        <v>32286</v>
      </c>
      <c r="M206">
        <v>15000</v>
      </c>
      <c r="N206">
        <v>5000</v>
      </c>
      <c r="O206">
        <v>73322</v>
      </c>
      <c r="P206">
        <v>-40598</v>
      </c>
      <c r="Q206">
        <v>2026</v>
      </c>
      <c r="R206">
        <v>6</v>
      </c>
      <c r="S206" s="4" t="s">
        <v>331</v>
      </c>
      <c r="T206">
        <v>-124.06</v>
      </c>
    </row>
    <row r="207" spans="1:20" x14ac:dyDescent="0.3">
      <c r="A207" s="4" t="s">
        <v>257</v>
      </c>
      <c r="B207" s="5">
        <v>46177</v>
      </c>
      <c r="C207" s="4" t="s">
        <v>34</v>
      </c>
      <c r="D207" s="4" t="s">
        <v>35</v>
      </c>
      <c r="E207" s="4" t="s">
        <v>36</v>
      </c>
      <c r="F207" s="4" t="s">
        <v>42</v>
      </c>
      <c r="G207">
        <v>14</v>
      </c>
      <c r="H207">
        <v>497843</v>
      </c>
      <c r="I207">
        <v>396625</v>
      </c>
      <c r="J207">
        <v>6969802</v>
      </c>
      <c r="K207">
        <v>5552750</v>
      </c>
      <c r="L207">
        <v>12510</v>
      </c>
      <c r="M207">
        <v>10000</v>
      </c>
      <c r="N207">
        <v>3000</v>
      </c>
      <c r="O207">
        <v>5578260</v>
      </c>
      <c r="P207">
        <v>1391542</v>
      </c>
      <c r="Q207">
        <v>2026</v>
      </c>
      <c r="R207">
        <v>6</v>
      </c>
      <c r="S207" s="4" t="s">
        <v>331</v>
      </c>
      <c r="T207">
        <v>19.97</v>
      </c>
    </row>
    <row r="208" spans="1:20" x14ac:dyDescent="0.3">
      <c r="A208" s="4" t="s">
        <v>258</v>
      </c>
      <c r="B208" s="5">
        <v>46177</v>
      </c>
      <c r="C208" s="4" t="s">
        <v>34</v>
      </c>
      <c r="D208" s="4" t="s">
        <v>35</v>
      </c>
      <c r="E208" s="4" t="s">
        <v>36</v>
      </c>
      <c r="F208" s="4" t="s">
        <v>42</v>
      </c>
      <c r="G208">
        <v>8</v>
      </c>
      <c r="H208">
        <v>485180</v>
      </c>
      <c r="I208">
        <v>372941</v>
      </c>
      <c r="J208">
        <v>3881440</v>
      </c>
      <c r="K208">
        <v>2983528</v>
      </c>
      <c r="L208">
        <v>18008</v>
      </c>
      <c r="M208">
        <v>0</v>
      </c>
      <c r="N208">
        <v>2000</v>
      </c>
      <c r="O208">
        <v>3003536</v>
      </c>
      <c r="P208">
        <v>877904</v>
      </c>
      <c r="Q208">
        <v>2026</v>
      </c>
      <c r="R208">
        <v>6</v>
      </c>
      <c r="S208" s="4" t="s">
        <v>331</v>
      </c>
      <c r="T208">
        <v>22.62</v>
      </c>
    </row>
    <row r="209" spans="1:20" x14ac:dyDescent="0.3">
      <c r="A209" s="4" t="s">
        <v>259</v>
      </c>
      <c r="B209" s="5">
        <v>46177</v>
      </c>
      <c r="C209" s="4" t="s">
        <v>49</v>
      </c>
      <c r="D209" s="4" t="s">
        <v>56</v>
      </c>
      <c r="E209" s="4" t="s">
        <v>36</v>
      </c>
      <c r="F209" s="4" t="s">
        <v>45</v>
      </c>
      <c r="G209">
        <v>10</v>
      </c>
      <c r="H209">
        <v>138903</v>
      </c>
      <c r="I209">
        <v>108895</v>
      </c>
      <c r="J209">
        <v>1389030</v>
      </c>
      <c r="K209">
        <v>1088950</v>
      </c>
      <c r="L209">
        <v>7930</v>
      </c>
      <c r="M209">
        <v>15000</v>
      </c>
      <c r="N209">
        <v>10000</v>
      </c>
      <c r="O209">
        <v>1121880</v>
      </c>
      <c r="P209">
        <v>267150</v>
      </c>
      <c r="Q209">
        <v>2026</v>
      </c>
      <c r="R209">
        <v>6</v>
      </c>
      <c r="S209" s="4" t="s">
        <v>331</v>
      </c>
      <c r="T209">
        <v>19.23</v>
      </c>
    </row>
    <row r="210" spans="1:20" x14ac:dyDescent="0.3">
      <c r="A210" s="4" t="s">
        <v>260</v>
      </c>
      <c r="B210" s="5">
        <v>46179</v>
      </c>
      <c r="C210" s="4" t="s">
        <v>27</v>
      </c>
      <c r="D210" s="4" t="s">
        <v>56</v>
      </c>
      <c r="E210" s="4" t="s">
        <v>36</v>
      </c>
      <c r="F210" s="4" t="s">
        <v>42</v>
      </c>
      <c r="G210">
        <v>13</v>
      </c>
      <c r="H210">
        <v>141989</v>
      </c>
      <c r="I210">
        <v>101016</v>
      </c>
      <c r="J210">
        <v>1845857</v>
      </c>
      <c r="K210">
        <v>1313208</v>
      </c>
      <c r="L210">
        <v>25560</v>
      </c>
      <c r="M210">
        <v>5000</v>
      </c>
      <c r="N210">
        <v>8000</v>
      </c>
      <c r="O210">
        <v>1351768</v>
      </c>
      <c r="P210">
        <v>494089</v>
      </c>
      <c r="Q210">
        <v>2026</v>
      </c>
      <c r="R210">
        <v>6</v>
      </c>
      <c r="S210" s="4" t="s">
        <v>331</v>
      </c>
      <c r="T210">
        <v>26.77</v>
      </c>
    </row>
    <row r="211" spans="1:20" x14ac:dyDescent="0.3">
      <c r="A211" s="4" t="s">
        <v>261</v>
      </c>
      <c r="B211" s="5">
        <v>46185</v>
      </c>
      <c r="C211" s="4" t="s">
        <v>27</v>
      </c>
      <c r="D211" s="4" t="s">
        <v>39</v>
      </c>
      <c r="E211" s="4" t="s">
        <v>23</v>
      </c>
      <c r="F211" s="4" t="s">
        <v>40</v>
      </c>
      <c r="G211">
        <v>6</v>
      </c>
      <c r="H211">
        <v>34085</v>
      </c>
      <c r="I211">
        <v>20233</v>
      </c>
      <c r="J211">
        <v>204510</v>
      </c>
      <c r="K211">
        <v>121398</v>
      </c>
      <c r="L211">
        <v>19732</v>
      </c>
      <c r="M211">
        <v>5000</v>
      </c>
      <c r="N211">
        <v>3000</v>
      </c>
      <c r="O211">
        <v>149130</v>
      </c>
      <c r="P211">
        <v>55380</v>
      </c>
      <c r="Q211">
        <v>2026</v>
      </c>
      <c r="R211">
        <v>6</v>
      </c>
      <c r="S211" s="4" t="s">
        <v>331</v>
      </c>
      <c r="T211">
        <v>27.08</v>
      </c>
    </row>
    <row r="212" spans="1:20" x14ac:dyDescent="0.3">
      <c r="A212" s="4" t="s">
        <v>262</v>
      </c>
      <c r="B212" s="5">
        <v>46185</v>
      </c>
      <c r="C212" s="4" t="s">
        <v>32</v>
      </c>
      <c r="D212" s="4" t="s">
        <v>22</v>
      </c>
      <c r="E212" s="4" t="s">
        <v>23</v>
      </c>
      <c r="F212" s="4" t="s">
        <v>30</v>
      </c>
      <c r="G212">
        <v>6</v>
      </c>
      <c r="H212">
        <v>22397</v>
      </c>
      <c r="I212">
        <v>14766</v>
      </c>
      <c r="J212">
        <v>134382</v>
      </c>
      <c r="K212">
        <v>88596</v>
      </c>
      <c r="L212">
        <v>15870</v>
      </c>
      <c r="M212">
        <v>10000</v>
      </c>
      <c r="N212">
        <v>3000</v>
      </c>
      <c r="O212">
        <v>117466</v>
      </c>
      <c r="P212">
        <v>16916</v>
      </c>
      <c r="Q212">
        <v>2026</v>
      </c>
      <c r="R212">
        <v>6</v>
      </c>
      <c r="S212" s="4" t="s">
        <v>331</v>
      </c>
      <c r="T212">
        <v>12.59</v>
      </c>
    </row>
    <row r="213" spans="1:20" x14ac:dyDescent="0.3">
      <c r="A213" s="4" t="s">
        <v>263</v>
      </c>
      <c r="B213" s="5">
        <v>46187</v>
      </c>
      <c r="C213" s="4" t="s">
        <v>21</v>
      </c>
      <c r="D213" s="4" t="s">
        <v>28</v>
      </c>
      <c r="E213" s="4" t="s">
        <v>29</v>
      </c>
      <c r="F213" s="4" t="s">
        <v>37</v>
      </c>
      <c r="G213">
        <v>15</v>
      </c>
      <c r="H213">
        <v>182488</v>
      </c>
      <c r="I213">
        <v>131384</v>
      </c>
      <c r="J213">
        <v>2737320</v>
      </c>
      <c r="K213">
        <v>1970760</v>
      </c>
      <c r="L213">
        <v>30325</v>
      </c>
      <c r="M213">
        <v>5000</v>
      </c>
      <c r="N213">
        <v>3000</v>
      </c>
      <c r="O213">
        <v>2009085</v>
      </c>
      <c r="P213">
        <v>728235</v>
      </c>
      <c r="Q213">
        <v>2026</v>
      </c>
      <c r="R213">
        <v>6</v>
      </c>
      <c r="S213" s="4" t="s">
        <v>331</v>
      </c>
      <c r="T213">
        <v>26.6</v>
      </c>
    </row>
    <row r="214" spans="1:20" x14ac:dyDescent="0.3">
      <c r="A214" s="4" t="s">
        <v>264</v>
      </c>
      <c r="B214" s="5">
        <v>46189</v>
      </c>
      <c r="C214" s="4" t="s">
        <v>27</v>
      </c>
      <c r="D214" s="4" t="s">
        <v>28</v>
      </c>
      <c r="E214" s="4" t="s">
        <v>29</v>
      </c>
      <c r="F214" s="4" t="s">
        <v>24</v>
      </c>
      <c r="G214">
        <v>12</v>
      </c>
      <c r="H214">
        <v>179897</v>
      </c>
      <c r="I214">
        <v>129658</v>
      </c>
      <c r="J214">
        <v>2158764</v>
      </c>
      <c r="K214">
        <v>1555896</v>
      </c>
      <c r="L214">
        <v>10913</v>
      </c>
      <c r="M214">
        <v>20000</v>
      </c>
      <c r="N214">
        <v>5000</v>
      </c>
      <c r="O214">
        <v>1591809</v>
      </c>
      <c r="P214">
        <v>566955</v>
      </c>
      <c r="Q214">
        <v>2026</v>
      </c>
      <c r="R214">
        <v>6</v>
      </c>
      <c r="S214" s="4" t="s">
        <v>331</v>
      </c>
      <c r="T214">
        <v>26.26</v>
      </c>
    </row>
    <row r="215" spans="1:20" x14ac:dyDescent="0.3">
      <c r="A215" s="4" t="s">
        <v>265</v>
      </c>
      <c r="B215" s="5">
        <v>46201</v>
      </c>
      <c r="C215" s="4" t="s">
        <v>32</v>
      </c>
      <c r="D215" s="4" t="s">
        <v>39</v>
      </c>
      <c r="E215" s="4" t="s">
        <v>23</v>
      </c>
      <c r="F215" s="4" t="s">
        <v>42</v>
      </c>
      <c r="G215">
        <v>6</v>
      </c>
      <c r="H215">
        <v>35302</v>
      </c>
      <c r="I215">
        <v>22009</v>
      </c>
      <c r="J215">
        <v>211812</v>
      </c>
      <c r="K215">
        <v>132054</v>
      </c>
      <c r="L215">
        <v>31344</v>
      </c>
      <c r="M215">
        <v>20000</v>
      </c>
      <c r="N215">
        <v>8000</v>
      </c>
      <c r="O215">
        <v>191398</v>
      </c>
      <c r="P215">
        <v>20414</v>
      </c>
      <c r="Q215">
        <v>2026</v>
      </c>
      <c r="R215">
        <v>6</v>
      </c>
      <c r="S215" s="4" t="s">
        <v>331</v>
      </c>
      <c r="T215">
        <v>9.64</v>
      </c>
    </row>
    <row r="216" spans="1:20" x14ac:dyDescent="0.3">
      <c r="A216" s="4" t="s">
        <v>266</v>
      </c>
      <c r="B216" s="5">
        <v>46201</v>
      </c>
      <c r="C216" s="4" t="s">
        <v>32</v>
      </c>
      <c r="D216" s="4" t="s">
        <v>35</v>
      </c>
      <c r="E216" s="4" t="s">
        <v>36</v>
      </c>
      <c r="F216" s="4" t="s">
        <v>40</v>
      </c>
      <c r="G216">
        <v>6</v>
      </c>
      <c r="H216">
        <v>492908</v>
      </c>
      <c r="I216">
        <v>375299</v>
      </c>
      <c r="J216">
        <v>2957448</v>
      </c>
      <c r="K216">
        <v>2251794</v>
      </c>
      <c r="L216">
        <v>21118</v>
      </c>
      <c r="M216">
        <v>10000</v>
      </c>
      <c r="N216">
        <v>3000</v>
      </c>
      <c r="O216">
        <v>2285912</v>
      </c>
      <c r="P216">
        <v>671536</v>
      </c>
      <c r="Q216">
        <v>2026</v>
      </c>
      <c r="R216">
        <v>6</v>
      </c>
      <c r="S216" s="4" t="s">
        <v>331</v>
      </c>
      <c r="T216">
        <v>22.71</v>
      </c>
    </row>
    <row r="217" spans="1:20" x14ac:dyDescent="0.3">
      <c r="A217" s="4" t="s">
        <v>267</v>
      </c>
      <c r="B217" s="5">
        <v>46207</v>
      </c>
      <c r="C217" s="4" t="s">
        <v>27</v>
      </c>
      <c r="D217" s="4" t="s">
        <v>28</v>
      </c>
      <c r="E217" s="4" t="s">
        <v>29</v>
      </c>
      <c r="F217" s="4" t="s">
        <v>40</v>
      </c>
      <c r="G217">
        <v>2</v>
      </c>
      <c r="H217">
        <v>191301</v>
      </c>
      <c r="I217">
        <v>127235</v>
      </c>
      <c r="J217">
        <v>382602</v>
      </c>
      <c r="K217">
        <v>254470</v>
      </c>
      <c r="L217">
        <v>24024</v>
      </c>
      <c r="M217">
        <v>10000</v>
      </c>
      <c r="N217">
        <v>2000</v>
      </c>
      <c r="O217">
        <v>290494</v>
      </c>
      <c r="P217">
        <v>92108</v>
      </c>
      <c r="Q217">
        <v>2026</v>
      </c>
      <c r="R217">
        <v>7</v>
      </c>
      <c r="S217" s="4" t="s">
        <v>332</v>
      </c>
      <c r="T217">
        <v>24.07</v>
      </c>
    </row>
    <row r="218" spans="1:20" x14ac:dyDescent="0.3">
      <c r="A218" s="4" t="s">
        <v>268</v>
      </c>
      <c r="B218" s="5">
        <v>46207</v>
      </c>
      <c r="C218" s="4" t="s">
        <v>34</v>
      </c>
      <c r="D218" s="4" t="s">
        <v>28</v>
      </c>
      <c r="E218" s="4" t="s">
        <v>29</v>
      </c>
      <c r="F218" s="4" t="s">
        <v>30</v>
      </c>
      <c r="G218">
        <v>2</v>
      </c>
      <c r="H218">
        <v>164234</v>
      </c>
      <c r="I218">
        <v>125762</v>
      </c>
      <c r="J218">
        <v>328468</v>
      </c>
      <c r="K218">
        <v>251524</v>
      </c>
      <c r="L218">
        <v>6382</v>
      </c>
      <c r="M218">
        <v>10000</v>
      </c>
      <c r="N218">
        <v>10000</v>
      </c>
      <c r="O218">
        <v>277906</v>
      </c>
      <c r="P218">
        <v>50562</v>
      </c>
      <c r="Q218">
        <v>2026</v>
      </c>
      <c r="R218">
        <v>7</v>
      </c>
      <c r="S218" s="4" t="s">
        <v>332</v>
      </c>
      <c r="T218">
        <v>15.39</v>
      </c>
    </row>
    <row r="219" spans="1:20" x14ac:dyDescent="0.3">
      <c r="A219" s="4" t="s">
        <v>269</v>
      </c>
      <c r="B219" s="5">
        <v>46209</v>
      </c>
      <c r="C219" s="4" t="s">
        <v>32</v>
      </c>
      <c r="D219" s="4" t="s">
        <v>28</v>
      </c>
      <c r="E219" s="4" t="s">
        <v>29</v>
      </c>
      <c r="F219" s="4" t="s">
        <v>30</v>
      </c>
      <c r="G219">
        <v>12</v>
      </c>
      <c r="H219">
        <v>165482</v>
      </c>
      <c r="I219">
        <v>125062</v>
      </c>
      <c r="J219">
        <v>1985784</v>
      </c>
      <c r="K219">
        <v>1500744</v>
      </c>
      <c r="L219">
        <v>36596</v>
      </c>
      <c r="M219">
        <v>20000</v>
      </c>
      <c r="N219">
        <v>3000</v>
      </c>
      <c r="O219">
        <v>1560340</v>
      </c>
      <c r="P219">
        <v>425444</v>
      </c>
      <c r="Q219">
        <v>2026</v>
      </c>
      <c r="R219">
        <v>7</v>
      </c>
      <c r="S219" s="4" t="s">
        <v>332</v>
      </c>
      <c r="T219">
        <v>21.42</v>
      </c>
    </row>
    <row r="220" spans="1:20" x14ac:dyDescent="0.3">
      <c r="A220" s="4" t="s">
        <v>270</v>
      </c>
      <c r="B220" s="5">
        <v>46213</v>
      </c>
      <c r="C220" s="4" t="s">
        <v>49</v>
      </c>
      <c r="D220" s="4" t="s">
        <v>56</v>
      </c>
      <c r="E220" s="4" t="s">
        <v>36</v>
      </c>
      <c r="F220" s="4" t="s">
        <v>37</v>
      </c>
      <c r="G220">
        <v>1</v>
      </c>
      <c r="H220">
        <v>132263</v>
      </c>
      <c r="I220">
        <v>104603</v>
      </c>
      <c r="J220">
        <v>132263</v>
      </c>
      <c r="K220">
        <v>104603</v>
      </c>
      <c r="L220">
        <v>30174</v>
      </c>
      <c r="M220">
        <v>0</v>
      </c>
      <c r="N220">
        <v>10000</v>
      </c>
      <c r="O220">
        <v>144777</v>
      </c>
      <c r="P220">
        <v>-12514</v>
      </c>
      <c r="Q220">
        <v>2026</v>
      </c>
      <c r="R220">
        <v>7</v>
      </c>
      <c r="S220" s="4" t="s">
        <v>332</v>
      </c>
      <c r="T220">
        <v>-9.4600000000000009</v>
      </c>
    </row>
    <row r="221" spans="1:20" x14ac:dyDescent="0.3">
      <c r="A221" s="4" t="s">
        <v>271</v>
      </c>
      <c r="B221" s="5">
        <v>46216</v>
      </c>
      <c r="C221" s="4" t="s">
        <v>21</v>
      </c>
      <c r="D221" s="4" t="s">
        <v>56</v>
      </c>
      <c r="E221" s="4" t="s">
        <v>36</v>
      </c>
      <c r="F221" s="4" t="s">
        <v>24</v>
      </c>
      <c r="G221">
        <v>8</v>
      </c>
      <c r="H221">
        <v>147240</v>
      </c>
      <c r="I221">
        <v>109099</v>
      </c>
      <c r="J221">
        <v>1177920</v>
      </c>
      <c r="K221">
        <v>872792</v>
      </c>
      <c r="L221">
        <v>6515</v>
      </c>
      <c r="M221">
        <v>5000</v>
      </c>
      <c r="N221">
        <v>8000</v>
      </c>
      <c r="O221">
        <v>892307</v>
      </c>
      <c r="P221">
        <v>285613</v>
      </c>
      <c r="Q221">
        <v>2026</v>
      </c>
      <c r="R221">
        <v>7</v>
      </c>
      <c r="S221" s="4" t="s">
        <v>332</v>
      </c>
      <c r="T221">
        <v>24.25</v>
      </c>
    </row>
    <row r="222" spans="1:20" x14ac:dyDescent="0.3">
      <c r="A222" s="4" t="s">
        <v>272</v>
      </c>
      <c r="B222" s="5">
        <v>46222</v>
      </c>
      <c r="C222" s="4" t="s">
        <v>21</v>
      </c>
      <c r="D222" s="4" t="s">
        <v>22</v>
      </c>
      <c r="E222" s="4" t="s">
        <v>23</v>
      </c>
      <c r="F222" s="4" t="s">
        <v>37</v>
      </c>
      <c r="G222">
        <v>7</v>
      </c>
      <c r="H222">
        <v>24077</v>
      </c>
      <c r="I222">
        <v>13652</v>
      </c>
      <c r="J222">
        <v>168539</v>
      </c>
      <c r="K222">
        <v>95564</v>
      </c>
      <c r="L222">
        <v>20132</v>
      </c>
      <c r="M222">
        <v>15000</v>
      </c>
      <c r="N222">
        <v>8000</v>
      </c>
      <c r="O222">
        <v>138696</v>
      </c>
      <c r="P222">
        <v>29843</v>
      </c>
      <c r="Q222">
        <v>2026</v>
      </c>
      <c r="R222">
        <v>7</v>
      </c>
      <c r="S222" s="4" t="s">
        <v>332</v>
      </c>
      <c r="T222">
        <v>17.71</v>
      </c>
    </row>
    <row r="223" spans="1:20" x14ac:dyDescent="0.3">
      <c r="A223" s="4" t="s">
        <v>273</v>
      </c>
      <c r="B223" s="5">
        <v>46224</v>
      </c>
      <c r="C223" s="4" t="s">
        <v>34</v>
      </c>
      <c r="D223" s="4" t="s">
        <v>39</v>
      </c>
      <c r="E223" s="4" t="s">
        <v>23</v>
      </c>
      <c r="F223" s="4" t="s">
        <v>24</v>
      </c>
      <c r="G223">
        <v>7</v>
      </c>
      <c r="H223">
        <v>35139</v>
      </c>
      <c r="I223">
        <v>21221</v>
      </c>
      <c r="J223">
        <v>245973</v>
      </c>
      <c r="K223">
        <v>148547</v>
      </c>
      <c r="L223">
        <v>20660</v>
      </c>
      <c r="M223">
        <v>15000</v>
      </c>
      <c r="N223">
        <v>5000</v>
      </c>
      <c r="O223">
        <v>189207</v>
      </c>
      <c r="P223">
        <v>56766</v>
      </c>
      <c r="Q223">
        <v>2026</v>
      </c>
      <c r="R223">
        <v>7</v>
      </c>
      <c r="S223" s="4" t="s">
        <v>332</v>
      </c>
      <c r="T223">
        <v>23.08</v>
      </c>
    </row>
    <row r="224" spans="1:20" x14ac:dyDescent="0.3">
      <c r="A224" s="4" t="s">
        <v>274</v>
      </c>
      <c r="B224" s="5">
        <v>46225</v>
      </c>
      <c r="C224" s="4" t="s">
        <v>27</v>
      </c>
      <c r="D224" s="4" t="s">
        <v>28</v>
      </c>
      <c r="E224" s="4" t="s">
        <v>29</v>
      </c>
      <c r="F224" s="4" t="s">
        <v>24</v>
      </c>
      <c r="G224">
        <v>15</v>
      </c>
      <c r="H224">
        <v>172584</v>
      </c>
      <c r="I224">
        <v>125151</v>
      </c>
      <c r="J224">
        <v>2588760</v>
      </c>
      <c r="K224">
        <v>1877265</v>
      </c>
      <c r="L224">
        <v>8507</v>
      </c>
      <c r="M224">
        <v>20000</v>
      </c>
      <c r="N224">
        <v>3000</v>
      </c>
      <c r="O224">
        <v>1908772</v>
      </c>
      <c r="P224">
        <v>679988</v>
      </c>
      <c r="Q224">
        <v>2026</v>
      </c>
      <c r="R224">
        <v>7</v>
      </c>
      <c r="S224" s="4" t="s">
        <v>332</v>
      </c>
      <c r="T224">
        <v>26.27</v>
      </c>
    </row>
    <row r="225" spans="1:20" x14ac:dyDescent="0.3">
      <c r="A225" s="4" t="s">
        <v>275</v>
      </c>
      <c r="B225" s="5">
        <v>46227</v>
      </c>
      <c r="C225" s="4" t="s">
        <v>27</v>
      </c>
      <c r="D225" s="4" t="s">
        <v>28</v>
      </c>
      <c r="E225" s="4" t="s">
        <v>29</v>
      </c>
      <c r="F225" s="4" t="s">
        <v>42</v>
      </c>
      <c r="G225">
        <v>13</v>
      </c>
      <c r="H225">
        <v>176220</v>
      </c>
      <c r="I225">
        <v>126734</v>
      </c>
      <c r="J225">
        <v>2290860</v>
      </c>
      <c r="K225">
        <v>1647542</v>
      </c>
      <c r="L225">
        <v>19061</v>
      </c>
      <c r="M225">
        <v>20000</v>
      </c>
      <c r="N225">
        <v>10000</v>
      </c>
      <c r="O225">
        <v>1696603</v>
      </c>
      <c r="P225">
        <v>594257</v>
      </c>
      <c r="Q225">
        <v>2026</v>
      </c>
      <c r="R225">
        <v>7</v>
      </c>
      <c r="S225" s="4" t="s">
        <v>332</v>
      </c>
      <c r="T225">
        <v>25.94</v>
      </c>
    </row>
    <row r="226" spans="1:20" x14ac:dyDescent="0.3">
      <c r="A226" s="4" t="s">
        <v>276</v>
      </c>
      <c r="B226" s="5">
        <v>46228</v>
      </c>
      <c r="C226" s="4" t="s">
        <v>32</v>
      </c>
      <c r="D226" s="4" t="s">
        <v>35</v>
      </c>
      <c r="E226" s="4" t="s">
        <v>36</v>
      </c>
      <c r="F226" s="4" t="s">
        <v>45</v>
      </c>
      <c r="G226">
        <v>15</v>
      </c>
      <c r="H226">
        <v>504489</v>
      </c>
      <c r="I226">
        <v>400250</v>
      </c>
      <c r="J226">
        <v>7567335</v>
      </c>
      <c r="K226">
        <v>6003750</v>
      </c>
      <c r="L226">
        <v>7435</v>
      </c>
      <c r="M226">
        <v>5000</v>
      </c>
      <c r="N226">
        <v>5000</v>
      </c>
      <c r="O226">
        <v>6021185</v>
      </c>
      <c r="P226">
        <v>1546150</v>
      </c>
      <c r="Q226">
        <v>2026</v>
      </c>
      <c r="R226">
        <v>7</v>
      </c>
      <c r="S226" s="4" t="s">
        <v>332</v>
      </c>
      <c r="T226">
        <v>20.43</v>
      </c>
    </row>
    <row r="227" spans="1:20" x14ac:dyDescent="0.3">
      <c r="A227" s="4" t="s">
        <v>277</v>
      </c>
      <c r="B227" s="5">
        <v>46230</v>
      </c>
      <c r="C227" s="4" t="s">
        <v>34</v>
      </c>
      <c r="D227" s="4" t="s">
        <v>22</v>
      </c>
      <c r="E227" s="4" t="s">
        <v>23</v>
      </c>
      <c r="F227" s="4" t="s">
        <v>40</v>
      </c>
      <c r="G227">
        <v>2</v>
      </c>
      <c r="H227">
        <v>23147</v>
      </c>
      <c r="I227">
        <v>14443</v>
      </c>
      <c r="J227">
        <v>46294</v>
      </c>
      <c r="K227">
        <v>28886</v>
      </c>
      <c r="L227">
        <v>24118</v>
      </c>
      <c r="M227">
        <v>0</v>
      </c>
      <c r="N227">
        <v>8000</v>
      </c>
      <c r="O227">
        <v>61004</v>
      </c>
      <c r="P227">
        <v>-14710</v>
      </c>
      <c r="Q227">
        <v>2026</v>
      </c>
      <c r="R227">
        <v>7</v>
      </c>
      <c r="S227" s="4" t="s">
        <v>332</v>
      </c>
      <c r="T227">
        <v>-31.78</v>
      </c>
    </row>
    <row r="228" spans="1:20" x14ac:dyDescent="0.3">
      <c r="A228" s="4" t="s">
        <v>278</v>
      </c>
      <c r="B228" s="5">
        <v>46232</v>
      </c>
      <c r="C228" s="4" t="s">
        <v>34</v>
      </c>
      <c r="D228" s="4" t="s">
        <v>39</v>
      </c>
      <c r="E228" s="4" t="s">
        <v>23</v>
      </c>
      <c r="F228" s="4" t="s">
        <v>30</v>
      </c>
      <c r="G228">
        <v>12</v>
      </c>
      <c r="H228">
        <v>33261</v>
      </c>
      <c r="I228">
        <v>22024</v>
      </c>
      <c r="J228">
        <v>399132</v>
      </c>
      <c r="K228">
        <v>264288</v>
      </c>
      <c r="L228">
        <v>22609</v>
      </c>
      <c r="M228">
        <v>10000</v>
      </c>
      <c r="N228">
        <v>3000</v>
      </c>
      <c r="O228">
        <v>299897</v>
      </c>
      <c r="P228">
        <v>99235</v>
      </c>
      <c r="Q228">
        <v>2026</v>
      </c>
      <c r="R228">
        <v>7</v>
      </c>
      <c r="S228" s="4" t="s">
        <v>332</v>
      </c>
      <c r="T228">
        <v>24.86</v>
      </c>
    </row>
    <row r="229" spans="1:20" x14ac:dyDescent="0.3">
      <c r="A229" s="4" t="s">
        <v>279</v>
      </c>
      <c r="B229" s="5">
        <v>46233</v>
      </c>
      <c r="C229" s="4" t="s">
        <v>34</v>
      </c>
      <c r="D229" s="4" t="s">
        <v>35</v>
      </c>
      <c r="E229" s="4" t="s">
        <v>36</v>
      </c>
      <c r="F229" s="4" t="s">
        <v>30</v>
      </c>
      <c r="G229">
        <v>13</v>
      </c>
      <c r="H229">
        <v>472207</v>
      </c>
      <c r="I229">
        <v>389645</v>
      </c>
      <c r="J229">
        <v>6138691</v>
      </c>
      <c r="K229">
        <v>5065385</v>
      </c>
      <c r="L229">
        <v>31311</v>
      </c>
      <c r="M229">
        <v>10000</v>
      </c>
      <c r="N229">
        <v>8000</v>
      </c>
      <c r="O229">
        <v>5114696</v>
      </c>
      <c r="P229">
        <v>1023995</v>
      </c>
      <c r="Q229">
        <v>2026</v>
      </c>
      <c r="R229">
        <v>7</v>
      </c>
      <c r="S229" s="4" t="s">
        <v>332</v>
      </c>
      <c r="T229">
        <v>16.68</v>
      </c>
    </row>
    <row r="230" spans="1:20" x14ac:dyDescent="0.3">
      <c r="A230" s="4" t="s">
        <v>280</v>
      </c>
      <c r="B230" s="5">
        <v>46233</v>
      </c>
      <c r="C230" s="4" t="s">
        <v>34</v>
      </c>
      <c r="D230" s="4" t="s">
        <v>39</v>
      </c>
      <c r="E230" s="4" t="s">
        <v>23</v>
      </c>
      <c r="F230" s="4" t="s">
        <v>24</v>
      </c>
      <c r="G230">
        <v>11</v>
      </c>
      <c r="H230">
        <v>31154</v>
      </c>
      <c r="I230">
        <v>20767</v>
      </c>
      <c r="J230">
        <v>342694</v>
      </c>
      <c r="K230">
        <v>228437</v>
      </c>
      <c r="L230">
        <v>33501</v>
      </c>
      <c r="M230">
        <v>15000</v>
      </c>
      <c r="N230">
        <v>2000</v>
      </c>
      <c r="O230">
        <v>278938</v>
      </c>
      <c r="P230">
        <v>63756</v>
      </c>
      <c r="Q230">
        <v>2026</v>
      </c>
      <c r="R230">
        <v>7</v>
      </c>
      <c r="S230" s="4" t="s">
        <v>332</v>
      </c>
      <c r="T230">
        <v>18.600000000000001</v>
      </c>
    </row>
    <row r="231" spans="1:20" x14ac:dyDescent="0.3">
      <c r="A231" s="4" t="s">
        <v>281</v>
      </c>
      <c r="B231" s="5">
        <v>46234</v>
      </c>
      <c r="C231" s="4" t="s">
        <v>27</v>
      </c>
      <c r="D231" s="4" t="s">
        <v>35</v>
      </c>
      <c r="E231" s="4" t="s">
        <v>36</v>
      </c>
      <c r="F231" s="4" t="s">
        <v>24</v>
      </c>
      <c r="G231">
        <v>9</v>
      </c>
      <c r="H231">
        <v>504318</v>
      </c>
      <c r="I231">
        <v>381877</v>
      </c>
      <c r="J231">
        <v>4538862</v>
      </c>
      <c r="K231">
        <v>3436893</v>
      </c>
      <c r="L231">
        <v>16436</v>
      </c>
      <c r="M231">
        <v>0</v>
      </c>
      <c r="N231">
        <v>3000</v>
      </c>
      <c r="O231">
        <v>3456329</v>
      </c>
      <c r="P231">
        <v>1082533</v>
      </c>
      <c r="Q231">
        <v>2026</v>
      </c>
      <c r="R231">
        <v>7</v>
      </c>
      <c r="S231" s="4" t="s">
        <v>332</v>
      </c>
      <c r="T231">
        <v>23.85</v>
      </c>
    </row>
    <row r="232" spans="1:20" x14ac:dyDescent="0.3">
      <c r="A232" s="4" t="s">
        <v>282</v>
      </c>
      <c r="B232" s="5">
        <v>46235</v>
      </c>
      <c r="C232" s="4" t="s">
        <v>27</v>
      </c>
      <c r="D232" s="4" t="s">
        <v>35</v>
      </c>
      <c r="E232" s="4" t="s">
        <v>36</v>
      </c>
      <c r="F232" s="4" t="s">
        <v>42</v>
      </c>
      <c r="G232">
        <v>2</v>
      </c>
      <c r="H232">
        <v>492110</v>
      </c>
      <c r="I232">
        <v>398018</v>
      </c>
      <c r="J232">
        <v>984220</v>
      </c>
      <c r="K232">
        <v>796036</v>
      </c>
      <c r="L232">
        <v>23899</v>
      </c>
      <c r="M232">
        <v>10000</v>
      </c>
      <c r="N232">
        <v>3000</v>
      </c>
      <c r="O232">
        <v>832935</v>
      </c>
      <c r="P232">
        <v>151285</v>
      </c>
      <c r="Q232">
        <v>2026</v>
      </c>
      <c r="R232">
        <v>8</v>
      </c>
      <c r="S232" s="4" t="s">
        <v>333</v>
      </c>
      <c r="T232">
        <v>15.37</v>
      </c>
    </row>
    <row r="233" spans="1:20" x14ac:dyDescent="0.3">
      <c r="A233" s="4" t="s">
        <v>283</v>
      </c>
      <c r="B233" s="5">
        <v>46240</v>
      </c>
      <c r="C233" s="4" t="s">
        <v>49</v>
      </c>
      <c r="D233" s="4" t="s">
        <v>28</v>
      </c>
      <c r="E233" s="4" t="s">
        <v>29</v>
      </c>
      <c r="F233" s="4" t="s">
        <v>42</v>
      </c>
      <c r="G233">
        <v>9</v>
      </c>
      <c r="H233">
        <v>173091</v>
      </c>
      <c r="I233">
        <v>127845</v>
      </c>
      <c r="J233">
        <v>1557819</v>
      </c>
      <c r="K233">
        <v>1150605</v>
      </c>
      <c r="L233">
        <v>14859</v>
      </c>
      <c r="M233">
        <v>15000</v>
      </c>
      <c r="N233">
        <v>10000</v>
      </c>
      <c r="O233">
        <v>1190464</v>
      </c>
      <c r="P233">
        <v>367355</v>
      </c>
      <c r="Q233">
        <v>2026</v>
      </c>
      <c r="R233">
        <v>8</v>
      </c>
      <c r="S233" s="4" t="s">
        <v>333</v>
      </c>
      <c r="T233">
        <v>23.58</v>
      </c>
    </row>
    <row r="234" spans="1:20" x14ac:dyDescent="0.3">
      <c r="A234" s="4" t="s">
        <v>284</v>
      </c>
      <c r="B234" s="5">
        <v>46242</v>
      </c>
      <c r="C234" s="4" t="s">
        <v>49</v>
      </c>
      <c r="D234" s="4" t="s">
        <v>39</v>
      </c>
      <c r="E234" s="4" t="s">
        <v>23</v>
      </c>
      <c r="F234" s="4" t="s">
        <v>45</v>
      </c>
      <c r="G234">
        <v>4</v>
      </c>
      <c r="H234">
        <v>33438</v>
      </c>
      <c r="I234">
        <v>21815</v>
      </c>
      <c r="J234">
        <v>133752</v>
      </c>
      <c r="K234">
        <v>87260</v>
      </c>
      <c r="L234">
        <v>14049</v>
      </c>
      <c r="M234">
        <v>0</v>
      </c>
      <c r="N234">
        <v>2000</v>
      </c>
      <c r="O234">
        <v>103309</v>
      </c>
      <c r="P234">
        <v>30443</v>
      </c>
      <c r="Q234">
        <v>2026</v>
      </c>
      <c r="R234">
        <v>8</v>
      </c>
      <c r="S234" s="4" t="s">
        <v>333</v>
      </c>
      <c r="T234">
        <v>22.76</v>
      </c>
    </row>
    <row r="235" spans="1:20" x14ac:dyDescent="0.3">
      <c r="A235" s="4" t="s">
        <v>285</v>
      </c>
      <c r="B235" s="5">
        <v>46242</v>
      </c>
      <c r="C235" s="4" t="s">
        <v>49</v>
      </c>
      <c r="D235" s="4" t="s">
        <v>56</v>
      </c>
      <c r="E235" s="4" t="s">
        <v>36</v>
      </c>
      <c r="F235" s="4" t="s">
        <v>30</v>
      </c>
      <c r="G235">
        <v>13</v>
      </c>
      <c r="H235">
        <v>133695</v>
      </c>
      <c r="I235">
        <v>104161</v>
      </c>
      <c r="J235">
        <v>1738035</v>
      </c>
      <c r="K235">
        <v>1354093</v>
      </c>
      <c r="L235">
        <v>27854</v>
      </c>
      <c r="M235">
        <v>15000</v>
      </c>
      <c r="N235">
        <v>3000</v>
      </c>
      <c r="O235">
        <v>1399947</v>
      </c>
      <c r="P235">
        <v>338088</v>
      </c>
      <c r="Q235">
        <v>2026</v>
      </c>
      <c r="R235">
        <v>8</v>
      </c>
      <c r="S235" s="4" t="s">
        <v>333</v>
      </c>
      <c r="T235">
        <v>19.45</v>
      </c>
    </row>
    <row r="236" spans="1:20" x14ac:dyDescent="0.3">
      <c r="A236" s="4" t="s">
        <v>286</v>
      </c>
      <c r="B236" s="5">
        <v>46244</v>
      </c>
      <c r="C236" s="4" t="s">
        <v>34</v>
      </c>
      <c r="D236" s="4" t="s">
        <v>35</v>
      </c>
      <c r="E236" s="4" t="s">
        <v>36</v>
      </c>
      <c r="F236" s="4" t="s">
        <v>24</v>
      </c>
      <c r="G236">
        <v>11</v>
      </c>
      <c r="H236">
        <v>478927</v>
      </c>
      <c r="I236">
        <v>380637</v>
      </c>
      <c r="J236">
        <v>5268197</v>
      </c>
      <c r="K236">
        <v>4187007</v>
      </c>
      <c r="L236">
        <v>33602</v>
      </c>
      <c r="M236">
        <v>0</v>
      </c>
      <c r="N236">
        <v>8000</v>
      </c>
      <c r="O236">
        <v>4228609</v>
      </c>
      <c r="P236">
        <v>1039588</v>
      </c>
      <c r="Q236">
        <v>2026</v>
      </c>
      <c r="R236">
        <v>8</v>
      </c>
      <c r="S236" s="4" t="s">
        <v>333</v>
      </c>
      <c r="T236">
        <v>19.73</v>
      </c>
    </row>
    <row r="237" spans="1:20" x14ac:dyDescent="0.3">
      <c r="A237" s="4" t="s">
        <v>287</v>
      </c>
      <c r="B237" s="5">
        <v>46245</v>
      </c>
      <c r="C237" s="4" t="s">
        <v>32</v>
      </c>
      <c r="D237" s="4" t="s">
        <v>22</v>
      </c>
      <c r="E237" s="4" t="s">
        <v>23</v>
      </c>
      <c r="F237" s="4" t="s">
        <v>40</v>
      </c>
      <c r="G237">
        <v>7</v>
      </c>
      <c r="H237">
        <v>25037</v>
      </c>
      <c r="I237">
        <v>13908</v>
      </c>
      <c r="J237">
        <v>175259</v>
      </c>
      <c r="K237">
        <v>97356</v>
      </c>
      <c r="L237">
        <v>20386</v>
      </c>
      <c r="M237">
        <v>5000</v>
      </c>
      <c r="N237">
        <v>5000</v>
      </c>
      <c r="O237">
        <v>127742</v>
      </c>
      <c r="P237">
        <v>47517</v>
      </c>
      <c r="Q237">
        <v>2026</v>
      </c>
      <c r="R237">
        <v>8</v>
      </c>
      <c r="S237" s="4" t="s">
        <v>333</v>
      </c>
      <c r="T237">
        <v>27.11</v>
      </c>
    </row>
    <row r="238" spans="1:20" x14ac:dyDescent="0.3">
      <c r="A238" s="4" t="s">
        <v>288</v>
      </c>
      <c r="B238" s="5">
        <v>46247</v>
      </c>
      <c r="C238" s="4" t="s">
        <v>49</v>
      </c>
      <c r="D238" s="4" t="s">
        <v>58</v>
      </c>
      <c r="E238" s="4" t="s">
        <v>29</v>
      </c>
      <c r="F238" s="4" t="s">
        <v>37</v>
      </c>
      <c r="G238">
        <v>8</v>
      </c>
      <c r="H238">
        <v>217516</v>
      </c>
      <c r="I238">
        <v>169091</v>
      </c>
      <c r="J238">
        <v>1740128</v>
      </c>
      <c r="K238">
        <v>1352728</v>
      </c>
      <c r="L238">
        <v>34415</v>
      </c>
      <c r="M238">
        <v>0</v>
      </c>
      <c r="N238">
        <v>2000</v>
      </c>
      <c r="O238">
        <v>1389143</v>
      </c>
      <c r="P238">
        <v>350985</v>
      </c>
      <c r="Q238">
        <v>2026</v>
      </c>
      <c r="R238">
        <v>8</v>
      </c>
      <c r="S238" s="4" t="s">
        <v>333</v>
      </c>
      <c r="T238">
        <v>20.170000000000002</v>
      </c>
    </row>
    <row r="239" spans="1:20" x14ac:dyDescent="0.3">
      <c r="A239" s="4" t="s">
        <v>289</v>
      </c>
      <c r="B239" s="5">
        <v>46251</v>
      </c>
      <c r="C239" s="4" t="s">
        <v>49</v>
      </c>
      <c r="D239" s="4" t="s">
        <v>22</v>
      </c>
      <c r="E239" s="4" t="s">
        <v>23</v>
      </c>
      <c r="F239" s="4" t="s">
        <v>42</v>
      </c>
      <c r="G239">
        <v>14</v>
      </c>
      <c r="H239">
        <v>21858</v>
      </c>
      <c r="I239">
        <v>14129</v>
      </c>
      <c r="J239">
        <v>306012</v>
      </c>
      <c r="K239">
        <v>197806</v>
      </c>
      <c r="L239">
        <v>20386</v>
      </c>
      <c r="M239">
        <v>10000</v>
      </c>
      <c r="N239">
        <v>10000</v>
      </c>
      <c r="O239">
        <v>238192</v>
      </c>
      <c r="P239">
        <v>67820</v>
      </c>
      <c r="Q239">
        <v>2026</v>
      </c>
      <c r="R239">
        <v>8</v>
      </c>
      <c r="S239" s="4" t="s">
        <v>333</v>
      </c>
      <c r="T239">
        <v>22.16</v>
      </c>
    </row>
    <row r="240" spans="1:20" x14ac:dyDescent="0.3">
      <c r="A240" s="4" t="s">
        <v>290</v>
      </c>
      <c r="B240" s="5">
        <v>46255</v>
      </c>
      <c r="C240" s="4" t="s">
        <v>32</v>
      </c>
      <c r="D240" s="4" t="s">
        <v>39</v>
      </c>
      <c r="E240" s="4" t="s">
        <v>23</v>
      </c>
      <c r="F240" s="4" t="s">
        <v>24</v>
      </c>
      <c r="G240">
        <v>6</v>
      </c>
      <c r="H240">
        <v>35231</v>
      </c>
      <c r="I240">
        <v>20422</v>
      </c>
      <c r="J240">
        <v>211386</v>
      </c>
      <c r="K240">
        <v>122532</v>
      </c>
      <c r="L240">
        <v>35585</v>
      </c>
      <c r="M240">
        <v>10000</v>
      </c>
      <c r="N240">
        <v>3000</v>
      </c>
      <c r="O240">
        <v>171117</v>
      </c>
      <c r="P240">
        <v>40269</v>
      </c>
      <c r="Q240">
        <v>2026</v>
      </c>
      <c r="R240">
        <v>8</v>
      </c>
      <c r="S240" s="4" t="s">
        <v>333</v>
      </c>
      <c r="T240">
        <v>19.05</v>
      </c>
    </row>
    <row r="241" spans="1:20" x14ac:dyDescent="0.3">
      <c r="A241" s="4" t="s">
        <v>291</v>
      </c>
      <c r="B241" s="5">
        <v>46257</v>
      </c>
      <c r="C241" s="4" t="s">
        <v>49</v>
      </c>
      <c r="D241" s="4" t="s">
        <v>56</v>
      </c>
      <c r="E241" s="4" t="s">
        <v>36</v>
      </c>
      <c r="F241" s="4" t="s">
        <v>24</v>
      </c>
      <c r="G241">
        <v>2</v>
      </c>
      <c r="H241">
        <v>137292</v>
      </c>
      <c r="I241">
        <v>104466</v>
      </c>
      <c r="J241">
        <v>274584</v>
      </c>
      <c r="K241">
        <v>208932</v>
      </c>
      <c r="L241">
        <v>19400</v>
      </c>
      <c r="M241">
        <v>0</v>
      </c>
      <c r="N241">
        <v>3000</v>
      </c>
      <c r="O241">
        <v>231332</v>
      </c>
      <c r="P241">
        <v>43252</v>
      </c>
      <c r="Q241">
        <v>2026</v>
      </c>
      <c r="R241">
        <v>8</v>
      </c>
      <c r="S241" s="4" t="s">
        <v>333</v>
      </c>
      <c r="T241">
        <v>15.75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77804-D81A-46C6-B086-B0EEC4771657}">
  <dimension ref="A1:B13"/>
  <sheetViews>
    <sheetView workbookViewId="0">
      <selection activeCell="B11" sqref="B11"/>
    </sheetView>
  </sheetViews>
  <sheetFormatPr baseColWidth="10" defaultRowHeight="14.4" x14ac:dyDescent="0.3"/>
  <cols>
    <col min="1" max="1" width="37" customWidth="1"/>
    <col min="2" max="2" width="27.109375" customWidth="1"/>
  </cols>
  <sheetData>
    <row r="1" spans="1:2" ht="28.2" customHeight="1" x14ac:dyDescent="0.4">
      <c r="A1" s="18" t="s">
        <v>342</v>
      </c>
      <c r="B1" s="18"/>
    </row>
    <row r="3" spans="1:2" x14ac:dyDescent="0.3">
      <c r="A3" s="13" t="s">
        <v>343</v>
      </c>
      <c r="B3" s="15" t="s">
        <v>344</v>
      </c>
    </row>
    <row r="4" spans="1:2" ht="28.8" x14ac:dyDescent="0.3">
      <c r="A4" s="16" t="s">
        <v>345</v>
      </c>
      <c r="B4" s="14" t="s">
        <v>346</v>
      </c>
    </row>
    <row r="5" spans="1:2" ht="28.8" x14ac:dyDescent="0.3">
      <c r="A5" s="16" t="s">
        <v>347</v>
      </c>
      <c r="B5" s="14" t="s">
        <v>348</v>
      </c>
    </row>
    <row r="6" spans="1:2" ht="28.8" x14ac:dyDescent="0.3">
      <c r="A6" s="16" t="s">
        <v>349</v>
      </c>
      <c r="B6" s="14" t="s">
        <v>350</v>
      </c>
    </row>
    <row r="7" spans="1:2" ht="18.600000000000001" customHeight="1" x14ac:dyDescent="0.3">
      <c r="A7" s="16" t="s">
        <v>317</v>
      </c>
      <c r="B7" s="17">
        <v>0.20780000000000001</v>
      </c>
    </row>
    <row r="8" spans="1:2" ht="29.4" customHeight="1" x14ac:dyDescent="0.3">
      <c r="A8" s="16" t="s">
        <v>351</v>
      </c>
      <c r="B8" s="14" t="s">
        <v>27</v>
      </c>
    </row>
    <row r="9" spans="1:2" x14ac:dyDescent="0.3">
      <c r="A9" s="16" t="s">
        <v>352</v>
      </c>
      <c r="B9" s="14" t="s">
        <v>353</v>
      </c>
    </row>
    <row r="10" spans="1:2" x14ac:dyDescent="0.3">
      <c r="A10" s="16" t="s">
        <v>354</v>
      </c>
      <c r="B10" s="14" t="s">
        <v>42</v>
      </c>
    </row>
    <row r="11" spans="1:2" x14ac:dyDescent="0.3">
      <c r="A11" s="16" t="s">
        <v>355</v>
      </c>
      <c r="B11" s="14" t="s">
        <v>29</v>
      </c>
    </row>
    <row r="12" spans="1:2" ht="28.8" x14ac:dyDescent="0.3">
      <c r="A12" s="16" t="s">
        <v>356</v>
      </c>
      <c r="B12" s="14" t="s">
        <v>35</v>
      </c>
    </row>
    <row r="13" spans="1:2" x14ac:dyDescent="0.3">
      <c r="A13" s="16" t="s">
        <v>357</v>
      </c>
      <c r="B13" s="14" t="s">
        <v>56</v>
      </c>
    </row>
  </sheetData>
  <mergeCells count="1">
    <mergeCell ref="A1:B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7ECE6-8AC7-4102-A3B0-EC4E92B3D1B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B1B34-843A-4C0D-B6CA-06D53CD771C4}">
  <dimension ref="A1:L6"/>
  <sheetViews>
    <sheetView tabSelected="1" workbookViewId="0">
      <selection activeCell="H26" sqref="H26"/>
    </sheetView>
  </sheetViews>
  <sheetFormatPr baseColWidth="10" defaultRowHeight="14.4" x14ac:dyDescent="0.3"/>
  <sheetData>
    <row r="1" spans="1:12" x14ac:dyDescent="0.3">
      <c r="A1" s="20" t="s">
        <v>362</v>
      </c>
      <c r="B1" s="19"/>
      <c r="C1" s="19"/>
      <c r="D1" s="19"/>
      <c r="E1" s="19"/>
      <c r="F1" s="19"/>
      <c r="G1" s="19"/>
      <c r="H1" s="19"/>
      <c r="I1" s="19"/>
      <c r="J1" s="19"/>
    </row>
    <row r="2" spans="1:12" x14ac:dyDescent="0.3">
      <c r="A2" s="19"/>
      <c r="B2" s="19"/>
      <c r="C2" s="19"/>
      <c r="D2" s="19"/>
      <c r="E2" s="19"/>
      <c r="F2" s="19"/>
      <c r="G2" s="19"/>
      <c r="H2" s="19"/>
      <c r="I2" s="19"/>
      <c r="J2" s="19"/>
    </row>
    <row r="4" spans="1:12" x14ac:dyDescent="0.3">
      <c r="A4" s="22" t="s">
        <v>358</v>
      </c>
      <c r="B4" s="21"/>
      <c r="C4" s="21"/>
      <c r="D4" s="22" t="s">
        <v>359</v>
      </c>
      <c r="E4" s="21"/>
      <c r="F4" s="21"/>
      <c r="G4" s="22" t="s">
        <v>360</v>
      </c>
      <c r="H4" s="21"/>
      <c r="I4" s="21"/>
      <c r="J4" s="22" t="s">
        <v>361</v>
      </c>
      <c r="K4" s="21"/>
      <c r="L4" s="21"/>
    </row>
    <row r="5" spans="1:12" x14ac:dyDescent="0.3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</row>
    <row r="6" spans="1:12" x14ac:dyDescent="0.3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</row>
  </sheetData>
  <mergeCells count="5">
    <mergeCell ref="A1:J2"/>
    <mergeCell ref="A4:C6"/>
    <mergeCell ref="D4:F6"/>
    <mergeCell ref="G4:I6"/>
    <mergeCell ref="J4:L6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06DCAE5-071B-4DE3-BA7F-89BFCE208F4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Transactions</vt:lpstr>
      <vt:lpstr>Dictionnaire_Donnees</vt:lpstr>
      <vt:lpstr>Analyse_Financiere</vt:lpstr>
      <vt:lpstr>Analyse_Villes</vt:lpstr>
      <vt:lpstr>Analyse_Produits</vt:lpstr>
      <vt:lpstr>Analyse_Temporelle</vt:lpstr>
      <vt:lpstr>Analyse_Commerciaux.</vt:lpstr>
      <vt:lpstr>Analyse_Categories.</vt:lpstr>
      <vt:lpstr>Donnees_Nettoyees</vt:lpstr>
      <vt:lpstr>Synthese_Resultats.</vt:lpstr>
      <vt:lpstr>Feuil11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ASSANE GASSAMA</cp:lastModifiedBy>
  <dcterms:created xsi:type="dcterms:W3CDTF">2026-09-11T02:21:04Z</dcterms:created>
  <dcterms:modified xsi:type="dcterms:W3CDTF">2026-09-11T04:50:17Z</dcterms:modified>
</cp:coreProperties>
</file>