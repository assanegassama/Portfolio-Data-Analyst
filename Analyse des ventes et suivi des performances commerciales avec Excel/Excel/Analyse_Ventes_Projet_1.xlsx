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BC\Downloads\"/>
    </mc:Choice>
  </mc:AlternateContent>
  <xr:revisionPtr revIDLastSave="0" documentId="13_ncr:1_{50739E07-6104-4136-B487-78F45FE96C24}" xr6:coauthVersionLast="47" xr6:coauthVersionMax="47" xr10:uidLastSave="{00000000-0000-0000-0000-000000000000}"/>
  <bookViews>
    <workbookView xWindow="-108" yWindow="-108" windowWidth="23256" windowHeight="13896" tabRatio="929" firstSheet="1" activeTab="8" xr2:uid="{7B31C588-C453-4B46-AFE8-60F588BF5B17}"/>
  </bookViews>
  <sheets>
    <sheet name="Ventes" sheetId="10" r:id="rId1"/>
    <sheet name="Clients" sheetId="11" r:id="rId2"/>
    <sheet name="Prroduits" sheetId="12" r:id="rId3"/>
    <sheet name="Analys par ventes" sheetId="13" r:id="rId4"/>
    <sheet name="Analyse par produits" sheetId="14" r:id="rId5"/>
    <sheet name="Analyse par mois" sheetId="15" r:id="rId6"/>
    <sheet name="Analyse" sheetId="16" r:id="rId7"/>
    <sheet name="DASHBOARD" sheetId="17" r:id="rId8"/>
    <sheet name="Interprétation des donnés" sheetId="22" r:id="rId9"/>
  </sheets>
  <definedNames>
    <definedName name="DonnéesExternes_1" localSheetId="3" hidden="1">'Analys par ventes'!$A$1:$D$4</definedName>
    <definedName name="DonnéesExternes_1" localSheetId="6" hidden="1">Analyse!$A$1:$K$7</definedName>
    <definedName name="DonnéesExternes_1" localSheetId="5" hidden="1">'Analyse par mois'!$A$1:$D$2</definedName>
    <definedName name="DonnéesExternes_1" localSheetId="4" hidden="1">'Analyse par produits'!$A$1:$D$6</definedName>
    <definedName name="DonnéesExternes_1" localSheetId="1" hidden="1">'Clients'!$A$1:$C$7</definedName>
    <definedName name="DonnéesExternes_1" localSheetId="2" hidden="1">Prroduits!$A$1:$B$6</definedName>
    <definedName name="DonnéesExternes_1" localSheetId="0" hidden="1">Ventes!$A$1:$K$7</definedName>
    <definedName name="Segment_Catégorie">#N/A</definedName>
    <definedName name="Segment_Produit">#N/A</definedName>
    <definedName name="Segment_Ville">#N/A</definedName>
  </definedNames>
  <calcPr calcId="181029"/>
  <fileRecoveryPr repairLoad="1"/>
  <extLst>
    <ext xmlns:x14="http://schemas.microsoft.com/office/spreadsheetml/2009/9/main" uri="{876F7934-8845-4945-9796-88D515C7AA90}">
      <x14:pivotCaches>
        <pivotCache cacheId="19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7" l="1"/>
  <c r="D5" i="17"/>
  <c r="F5" i="17"/>
  <c r="E5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2771A4-6BB3-4159-80D4-7CCE794E3C1C}" keepAlive="1" name="Requête - Analyse" description="Connexion à la requête « Analyse » dans le classeur." type="5" refreshedVersion="7" background="1" saveData="1">
    <dbPr connection="Provider=Microsoft.Mashup.OleDb.1;Data Source=$Workbook$;Location=Analyse;Extended Properties=&quot;&quot;" command="SELECT * FROM [Analyse]"/>
  </connection>
  <connection id="2" xr16:uid="{AEC2CA86-D619-4C0B-B5FC-F94F0326BA1A}" keepAlive="1" name="Requête - Analyse par Mois" description="Connexion à la requête « Analyse par Mois » dans le classeur." type="5" refreshedVersion="7" background="1" saveData="1">
    <dbPr connection="Provider=Microsoft.Mashup.OleDb.1;Data Source=$Workbook$;Location=&quot;Analyse par Mois&quot;;Extended Properties=&quot;&quot;" command="SELECT * FROM [Analyse par Mois]"/>
  </connection>
  <connection id="3" xr16:uid="{B25A5938-ED95-4DAC-A9CF-F901CC7E29A4}" keepAlive="1" name="Requête - Analyse par Produit" description="Connexion à la requête « Analyse par Produit » dans le classeur." type="5" refreshedVersion="7" background="1" saveData="1">
    <dbPr connection="Provider=Microsoft.Mashup.OleDb.1;Data Source=$Workbook$;Location=&quot;Analyse par Produit&quot;;Extended Properties=&quot;&quot;" command="SELECT * FROM [Analyse par Produit]"/>
  </connection>
  <connection id="4" xr16:uid="{E09EF96C-5776-41BA-B8A2-AC2300DE6F66}" keepAlive="1" name="Requête - Analyse par Ventes" description="Connexion à la requête « Analyse par Ventes » dans le classeur." type="5" refreshedVersion="7" background="1" saveData="1">
    <dbPr connection="Provider=Microsoft.Mashup.OleDb.1;Data Source=$Workbook$;Location=&quot;Analyse par Ventes&quot;;Extended Properties=&quot;&quot;" command="SELECT * FROM [Analyse par Ventes]"/>
  </connection>
  <connection id="5" xr16:uid="{1FCA3195-C627-4D14-83B0-17DF4BC3495C}" keepAlive="1" name="Requête - Clients" description="Connexion à la requête « Clients » dans le classeur." type="5" refreshedVersion="7" background="1" saveData="1">
    <dbPr connection="Provider=Microsoft.Mashup.OleDb.1;Data Source=$Workbook$;Location=Clients;Extended Properties=&quot;&quot;" command="SELECT * FROM [Clients]"/>
  </connection>
  <connection id="6" xr16:uid="{6EA6C4DE-B7BB-4B0D-9E89-BB9DAF70793C}" keepAlive="1" name="Requête - Produits" description="Connexion à la requête « Produits » dans le classeur." type="5" refreshedVersion="7" background="1" saveData="1">
    <dbPr connection="Provider=Microsoft.Mashup.OleDb.1;Data Source=$Workbook$;Location=Produits;Extended Properties=&quot;&quot;" command="SELECT * FROM [Produits]"/>
  </connection>
  <connection id="7" xr16:uid="{FE70AFB0-B986-4E35-B06A-25CC5CCC8C33}" keepAlive="1" name="Requête - Ventes" description="Connexion à la requête « Ventes » dans le classeur." type="5" refreshedVersion="7" background="1" saveData="1">
    <dbPr connection="Provider=Microsoft.Mashup.OleDb.1;Data Source=$Workbook$;Location=Ventes;Extended Properties=&quot;&quot;" command="SELECT * FROM [Ventes]"/>
  </connection>
</connections>
</file>

<file path=xl/sharedStrings.xml><?xml version="1.0" encoding="utf-8"?>
<sst xmlns="http://schemas.openxmlformats.org/spreadsheetml/2006/main" count="165" uniqueCount="49">
  <si>
    <t>ID_Vente</t>
  </si>
  <si>
    <t>ID_Client</t>
  </si>
  <si>
    <t>Produit</t>
  </si>
  <si>
    <t>Quantité</t>
  </si>
  <si>
    <t>Prix_Unitaire</t>
  </si>
  <si>
    <t>Date</t>
  </si>
  <si>
    <t>V001</t>
  </si>
  <si>
    <t>C001</t>
  </si>
  <si>
    <t>Ordinateur</t>
  </si>
  <si>
    <t>V002</t>
  </si>
  <si>
    <t>C002</t>
  </si>
  <si>
    <t>Souris</t>
  </si>
  <si>
    <t>Clavier</t>
  </si>
  <si>
    <t>V004</t>
  </si>
  <si>
    <t>C003</t>
  </si>
  <si>
    <t>Écran</t>
  </si>
  <si>
    <t>V005</t>
  </si>
  <si>
    <t>C004</t>
  </si>
  <si>
    <t>V007</t>
  </si>
  <si>
    <t>C005</t>
  </si>
  <si>
    <t>V010</t>
  </si>
  <si>
    <t>C006</t>
  </si>
  <si>
    <t>Casque</t>
  </si>
  <si>
    <t>Nom</t>
  </si>
  <si>
    <t>Ville</t>
  </si>
  <si>
    <t>Ali</t>
  </si>
  <si>
    <t>Dakar</t>
  </si>
  <si>
    <t>Fatou</t>
  </si>
  <si>
    <t>Thiès</t>
  </si>
  <si>
    <t>Moussa</t>
  </si>
  <si>
    <t>Awa</t>
  </si>
  <si>
    <t>Rufisque</t>
  </si>
  <si>
    <t>Ousmane</t>
  </si>
  <si>
    <t>Mariama</t>
  </si>
  <si>
    <t>Catégorie</t>
  </si>
  <si>
    <t>Informatique</t>
  </si>
  <si>
    <t>Accessoire</t>
  </si>
  <si>
    <t>Audio</t>
  </si>
  <si>
    <t>CA TOTAL</t>
  </si>
  <si>
    <t>Nombre de ventes</t>
  </si>
  <si>
    <t>Quantité total vendu</t>
  </si>
  <si>
    <t>CA Total</t>
  </si>
  <si>
    <t>Nom du mois</t>
  </si>
  <si>
    <t>août</t>
  </si>
  <si>
    <t>Chiffre d'Affaires</t>
  </si>
  <si>
    <t>QUANTITE TOTAL VENDU</t>
  </si>
  <si>
    <t>NBRE DE VENTES</t>
  </si>
  <si>
    <t>PANIER MOYEN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</si>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</sst>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[$F CFA-280C]_-;\-* #,##0\ [$F CFA-280C]_-;_-* &quot;-&quot;??\ [$F CFA-280C]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4" tint="0.39997558519241921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</cellXfs>
  <cellStyles count="2">
    <cellStyle name="Monétaire" xfId="1" builtinId="4"/>
    <cellStyle name="Normal" xfId="0" builtinId="0"/>
  </cellStyles>
  <dxfs count="42"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numFmt numFmtId="164" formatCode="_-* #,##0\ [$F CFA-280C]_-;\-* #,##0\ [$F CFA-280C]_-;_-* &quot;-&quot;??\ [$F CFA-280C]_-;_-@_-"/>
    </dxf>
    <dxf>
      <numFmt numFmtId="164" formatCode="_-* #,##0\ [$F CFA-280C]_-;\-* #,##0\ [$F CFA-280C]_-;_-* &quot;-&quot;??\ [$F CFA-280C]_-;_-@_-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_-* #,##0\ [$F CFA-280C]_-;\-* #,##0\ [$F CFA-280C]_-;_-* &quot;-&quot;??\ [$F CFA-280C]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_-* #,##0\ [$F CFA-280C]_-;\-* #,##0\ [$F CFA-280C]_-;_-* &quot;-&quot;??\ [$F CFA-280C]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_-* #,##0\ [$F CFA-280C]_-;\-* #,##0\ [$F CFA-280C]_-;_-* &quot;-&quot;??\ [$F CFA-280C]_-;_-@_-"/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/>
              <a:t>CA</a:t>
            </a:r>
            <a:r>
              <a:rPr lang="fr-SN" baseline="0"/>
              <a:t> total par ville</a:t>
            </a:r>
            <a:endParaRPr lang="fr-S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Dakar</c:v>
              </c:pt>
              <c:pt idx="1">
                <c:v>Rufisque</c:v>
              </c:pt>
            </c:strLit>
          </c:cat>
          <c:val>
            <c:numLit>
              <c:formatCode>General</c:formatCode>
              <c:ptCount val="2"/>
              <c:pt idx="0">
                <c:v>760000</c:v>
              </c:pt>
              <c:pt idx="1">
                <c:v>350000</c:v>
              </c:pt>
            </c:numLit>
          </c:val>
          <c:extLst>
            <c:ext xmlns:c16="http://schemas.microsoft.com/office/drawing/2014/chart" uri="{C3380CC4-5D6E-409C-BE32-E72D297353CC}">
              <c16:uniqueId val="{00000000-A6E9-45AE-BB5C-FDDF6E1D4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321272"/>
        <c:axId val="457319960"/>
      </c:barChart>
      <c:catAx>
        <c:axId val="457321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319960"/>
        <c:crosses val="autoZero"/>
        <c:auto val="1"/>
        <c:lblAlgn val="ctr"/>
        <c:lblOffset val="100"/>
        <c:noMultiLvlLbl val="0"/>
      </c:catAx>
      <c:valAx>
        <c:axId val="457319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32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/>
              <a:t>CA Total par</a:t>
            </a:r>
            <a:r>
              <a:rPr lang="fr-SN" baseline="0"/>
              <a:t> Produit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Clavier</c:v>
              </c:pt>
              <c:pt idx="1">
                <c:v>Ordinateur</c:v>
              </c:pt>
            </c:strLit>
          </c:cat>
          <c:val>
            <c:numLit>
              <c:formatCode>General</c:formatCode>
              <c:ptCount val="2"/>
              <c:pt idx="0">
                <c:v>60000</c:v>
              </c:pt>
              <c:pt idx="1">
                <c:v>1050000</c:v>
              </c:pt>
            </c:numLit>
          </c:val>
          <c:extLst>
            <c:ext xmlns:c16="http://schemas.microsoft.com/office/drawing/2014/chart" uri="{C3380CC4-5D6E-409C-BE32-E72D297353CC}">
              <c16:uniqueId val="{00000000-84EC-434D-A55D-479D56C83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8309464"/>
        <c:axId val="588315040"/>
      </c:barChart>
      <c:catAx>
        <c:axId val="588309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8315040"/>
        <c:crosses val="autoZero"/>
        <c:auto val="1"/>
        <c:lblAlgn val="ctr"/>
        <c:lblOffset val="100"/>
        <c:noMultiLvlLbl val="0"/>
      </c:catAx>
      <c:valAx>
        <c:axId val="58831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830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/>
              <a:t> CA Total par mois</a:t>
            </a:r>
          </a:p>
        </c:rich>
      </c:tx>
      <c:layout>
        <c:manualLayout>
          <c:xMode val="edge"/>
          <c:yMode val="edge"/>
          <c:x val="0.38322922134733162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août</c:v>
              </c:pt>
            </c:strLit>
          </c:cat>
          <c:val>
            <c:numLit>
              <c:formatCode>General</c:formatCode>
              <c:ptCount val="1"/>
              <c:pt idx="0">
                <c:v>1110000</c:v>
              </c:pt>
            </c:numLit>
          </c:val>
          <c:extLst>
            <c:ext xmlns:c16="http://schemas.microsoft.com/office/drawing/2014/chart" uri="{C3380CC4-5D6E-409C-BE32-E72D297353CC}">
              <c16:uniqueId val="{00000000-CB14-4D4E-8E4C-0538193BB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3872368"/>
        <c:axId val="589922768"/>
      </c:barChart>
      <c:catAx>
        <c:axId val="58387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922768"/>
        <c:crosses val="autoZero"/>
        <c:auto val="1"/>
        <c:lblAlgn val="ctr"/>
        <c:lblOffset val="100"/>
        <c:noMultiLvlLbl val="0"/>
      </c:catAx>
      <c:valAx>
        <c:axId val="58992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387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152399</xdr:colOff>
      <xdr:row>5</xdr:row>
      <xdr:rowOff>118534</xdr:rowOff>
    </xdr:from>
    <xdr:to>
      <xdr:col>4</xdr:col>
      <xdr:colOff>2035385</xdr:colOff>
      <xdr:row>20</xdr:row>
      <xdr:rowOff>50800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9B885F7-6AD1-4F33-84CC-F4A0BEA64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67734</xdr:colOff>
      <xdr:row>5</xdr:row>
      <xdr:rowOff>118535</xdr:rowOff>
    </xdr:from>
    <xdr:to>
      <xdr:col>6</xdr:col>
      <xdr:colOff>2108201</xdr:colOff>
      <xdr:row>20</xdr:row>
      <xdr:rowOff>16935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A0FFFC27-FFE6-41D6-8204-E698A4905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152400</xdr:colOff>
      <xdr:row>21</xdr:row>
      <xdr:rowOff>127000</xdr:rowOff>
    </xdr:from>
    <xdr:to>
      <xdr:col>5</xdr:col>
      <xdr:colOff>2226733</xdr:colOff>
      <xdr:row>38</xdr:row>
      <xdr:rowOff>143934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C41B5E42-CF1C-4C52-A1F1-75A8B7CDD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187267</xdr:colOff>
      <xdr:row>22</xdr:row>
      <xdr:rowOff>23134</xdr:rowOff>
    </xdr:from>
    <xdr:to>
      <xdr:col>3</xdr:col>
      <xdr:colOff>2125795</xdr:colOff>
      <xdr:row>37</xdr:row>
      <xdr:rowOff>115495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Produit 1">
              <a:extLst>
                <a:ext uri="{FF2B5EF4-FFF2-40B4-BE49-F238E27FC236}">
                  <a16:creationId xmlns:a16="http://schemas.microsoft.com/office/drawing/2014/main" id="{4545A8A6-17F7-40CC-B28C-F3A195A8C0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0000" y="4248001"/>
              <a:ext cx="1938528" cy="28863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S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116267</xdr:colOff>
      <xdr:row>21</xdr:row>
      <xdr:rowOff>173400</xdr:rowOff>
    </xdr:from>
    <xdr:to>
      <xdr:col>6</xdr:col>
      <xdr:colOff>1952267</xdr:colOff>
      <xdr:row>30</xdr:row>
      <xdr:rowOff>45000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Ville 1">
              <a:extLst>
                <a:ext uri="{FF2B5EF4-FFF2-40B4-BE49-F238E27FC236}">
                  <a16:creationId xmlns:a16="http://schemas.microsoft.com/office/drawing/2014/main" id="{0B9A22B6-0952-4922-98F2-5E9A2B32EE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20000" y="4212000"/>
              <a:ext cx="1836000" cy="15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S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160866</xdr:colOff>
      <xdr:row>30</xdr:row>
      <xdr:rowOff>160867</xdr:rowOff>
    </xdr:from>
    <xdr:to>
      <xdr:col>6</xdr:col>
      <xdr:colOff>1988316</xdr:colOff>
      <xdr:row>38</xdr:row>
      <xdr:rowOff>110734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Catégorie 1">
              <a:extLst>
                <a:ext uri="{FF2B5EF4-FFF2-40B4-BE49-F238E27FC236}">
                  <a16:creationId xmlns:a16="http://schemas.microsoft.com/office/drawing/2014/main" id="{7F382A76-1F51-472E-A638-8E22C24EF7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égori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64599" y="5875867"/>
              <a:ext cx="1827450" cy="14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S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2</xdr:row>
      <xdr:rowOff>60960</xdr:rowOff>
    </xdr:from>
    <xdr:to>
      <xdr:col>13</xdr:col>
      <xdr:colOff>403860</xdr:colOff>
      <xdr:row>24</xdr:row>
      <xdr:rowOff>144780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38DF34E-3586-49B9-BAA9-B883DD0A97C5}"/>
            </a:ext>
          </a:extLst>
        </xdr:cNvPr>
        <xdr:cNvSpPr txBox="1"/>
      </xdr:nvSpPr>
      <xdr:spPr>
        <a:xfrm>
          <a:off x="1021080" y="426720"/>
          <a:ext cx="9685020" cy="410718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SN" sz="1600" b="1"/>
            <a:t>                                                                 INTERPRÉTATION DES DONNÉES</a:t>
          </a:r>
        </a:p>
        <a:p>
          <a:endParaRPr lang="fr-SN" sz="1600" b="1" u="sng">
            <a:solidFill>
              <a:schemeClr val="accent1">
                <a:lumMod val="75000"/>
              </a:schemeClr>
            </a:solidFill>
          </a:endParaRPr>
        </a:p>
        <a:p>
          <a:r>
            <a:rPr lang="fr-SN" sz="1600" b="1" u="sng">
              <a:solidFill>
                <a:schemeClr val="accent1">
                  <a:lumMod val="75000"/>
                </a:schemeClr>
              </a:solidFill>
            </a:rPr>
            <a:t>1. Performance globale</a:t>
          </a:r>
        </a:p>
        <a:p>
          <a:r>
            <a:rPr lang="fr-SN" sz="1400"/>
            <a:t>L’entreprise a réalisé un chiffre d’affaires total de </a:t>
          </a:r>
          <a:r>
            <a:rPr lang="fr-SN" sz="1400" b="1"/>
            <a:t>1 475 000</a:t>
          </a:r>
          <a:r>
            <a:rPr lang="fr-SN" sz="1400"/>
            <a:t>, avec </a:t>
          </a:r>
          <a:r>
            <a:rPr lang="fr-SN" sz="1400" b="1"/>
            <a:t>17 unités vendues</a:t>
          </a:r>
          <a:r>
            <a:rPr lang="fr-SN" sz="1400"/>
            <a:t> et </a:t>
          </a:r>
          <a:r>
            <a:rPr lang="fr-SN" sz="1400" b="1"/>
            <a:t>6 ventes</a:t>
          </a:r>
          <a:r>
            <a:rPr lang="fr-SN" sz="1400"/>
            <a:t> enregistrées.</a:t>
          </a:r>
        </a:p>
        <a:p>
          <a:r>
            <a:rPr lang="fr-SN" sz="1600" b="1" u="sng">
              <a:solidFill>
                <a:schemeClr val="accent1">
                  <a:lumMod val="75000"/>
                </a:schemeClr>
              </a:solidFill>
            </a:rPr>
            <a:t>2. Panier moyen</a:t>
          </a:r>
        </a:p>
        <a:p>
          <a:r>
            <a:rPr lang="fr-SN" sz="1400"/>
            <a:t>Le panier moyen est de </a:t>
          </a:r>
          <a:r>
            <a:rPr lang="fr-SN" sz="1400" b="1"/>
            <a:t>245 833</a:t>
          </a:r>
          <a:r>
            <a:rPr lang="fr-SN" sz="1400"/>
            <a:t>, ce qui signifie que chaque vente génère en moyenne </a:t>
          </a:r>
          <a:r>
            <a:rPr lang="fr-SN" sz="1400" b="1"/>
            <a:t>245 833</a:t>
          </a:r>
          <a:r>
            <a:rPr lang="fr-SN" sz="1400"/>
            <a:t> de chiffre d’affaires.</a:t>
          </a:r>
        </a:p>
        <a:p>
          <a:r>
            <a:rPr lang="fr-SN" sz="1600" b="1" u="sng">
              <a:solidFill>
                <a:schemeClr val="accent1">
                  <a:lumMod val="75000"/>
                </a:schemeClr>
              </a:solidFill>
            </a:rPr>
            <a:t>3. Analyse par ville</a:t>
          </a:r>
        </a:p>
        <a:p>
          <a:r>
            <a:rPr lang="fr-SN" sz="1400" b="1"/>
            <a:t>Dakar</a:t>
          </a:r>
          <a:r>
            <a:rPr lang="fr-SN" sz="1400"/>
            <a:t> est la ville la plus performante avec un chiffre d’affaires de </a:t>
          </a:r>
          <a:r>
            <a:rPr lang="fr-SN" sz="1400" b="1"/>
            <a:t>1 000 000</a:t>
          </a:r>
          <a:r>
            <a:rPr lang="fr-SN" sz="1400"/>
            <a:t>.</a:t>
          </a:r>
        </a:p>
        <a:p>
          <a:r>
            <a:rPr lang="fr-SN" sz="1600" b="1" u="sng">
              <a:solidFill>
                <a:schemeClr val="accent1">
                  <a:lumMod val="75000"/>
                </a:schemeClr>
              </a:solidFill>
            </a:rPr>
            <a:t>4. Analyse par produit</a:t>
          </a:r>
        </a:p>
        <a:p>
          <a:r>
            <a:rPr lang="fr-SN" sz="1400" b="1"/>
            <a:t>Ordinateur</a:t>
          </a:r>
          <a:r>
            <a:rPr lang="fr-SN" sz="1400"/>
            <a:t> est le produit le plus performant avec un chiffre d’affaires de </a:t>
          </a:r>
          <a:r>
            <a:rPr lang="fr-SN" sz="1400" b="1"/>
            <a:t>1 050 000</a:t>
          </a:r>
          <a:r>
            <a:rPr lang="fr-SN" sz="1400"/>
            <a:t>.</a:t>
          </a:r>
        </a:p>
        <a:p>
          <a:r>
            <a:rPr lang="fr-SN" sz="1600" b="1" u="sng">
              <a:solidFill>
                <a:schemeClr val="accent1">
                  <a:lumMod val="75000"/>
                </a:schemeClr>
              </a:solidFill>
            </a:rPr>
            <a:t>5. Analyse temporelle</a:t>
          </a:r>
        </a:p>
        <a:p>
          <a:r>
            <a:rPr lang="fr-SN" sz="1400"/>
            <a:t>Les données concernent uniquement le mois d’</a:t>
          </a:r>
          <a:r>
            <a:rPr lang="fr-SN" sz="1400" b="1"/>
            <a:t>août 2026</a:t>
          </a:r>
          <a:r>
            <a:rPr lang="fr-SN" sz="1400"/>
            <a:t>. Il n’est donc pas encore possible d’analyser une véritable évolution mensuelle.</a:t>
          </a:r>
        </a:p>
        <a:p>
          <a:r>
            <a:rPr lang="fr-SN" sz="1600" b="1" u="sng">
              <a:solidFill>
                <a:schemeClr val="accent1">
                  <a:lumMod val="75000"/>
                </a:schemeClr>
              </a:solidFill>
            </a:rPr>
            <a:t>6. Conclusion</a:t>
          </a:r>
        </a:p>
        <a:p>
          <a:r>
            <a:rPr lang="fr-SN" sz="1400"/>
            <a:t>L'entreprise obtient ses meilleures performances grâce à </a:t>
          </a:r>
          <a:r>
            <a:rPr lang="fr-SN" sz="1400" b="1"/>
            <a:t>Dakar</a:t>
          </a:r>
          <a:r>
            <a:rPr lang="fr-SN" sz="1400"/>
            <a:t> et au produit </a:t>
          </a:r>
          <a:r>
            <a:rPr lang="fr-SN" sz="1400" b="1"/>
            <a:t>Ordinateur</a:t>
          </a:r>
          <a:r>
            <a:rPr lang="fr-SN" sz="1400"/>
            <a:t>. Ces éléments représentent des axes importants à surveiller et à développer.</a:t>
          </a:r>
        </a:p>
        <a:p>
          <a:endParaRPr lang="fr-S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BC" refreshedDate="46268.686814930552" createdVersion="7" refreshedVersion="7" minRefreshableVersion="3" recordCount="6" xr:uid="{90ED6627-8DA8-4864-88E4-EB38C281C29F}">
  <cacheSource type="worksheet">
    <worksheetSource name="Analyse"/>
  </cacheSource>
  <cacheFields count="11">
    <cacheField name="ID_Vente" numFmtId="0">
      <sharedItems/>
    </cacheField>
    <cacheField name="ID_Client" numFmtId="0">
      <sharedItems/>
    </cacheField>
    <cacheField name="Nom" numFmtId="0">
      <sharedItems/>
    </cacheField>
    <cacheField name="Ville" numFmtId="0">
      <sharedItems count="3">
        <s v="Dakar"/>
        <s v="Rufisque"/>
        <s v="Thiès"/>
      </sharedItems>
    </cacheField>
    <cacheField name="Produit" numFmtId="0">
      <sharedItems count="5">
        <s v="Ordinateur"/>
        <s v="Souris"/>
        <s v="Écran"/>
        <s v="Clavier"/>
        <s v="Casque"/>
      </sharedItems>
    </cacheField>
    <cacheField name="Catégorie" numFmtId="0">
      <sharedItems count="3">
        <s v="Informatique"/>
        <s v="Accessoire"/>
        <s v="Audio"/>
      </sharedItems>
    </cacheField>
    <cacheField name="Quantité" numFmtId="0">
      <sharedItems containsSemiMixedTypes="0" containsString="0" containsNumber="1" containsInteger="1" minValue="1" maxValue="5"/>
    </cacheField>
    <cacheField name="Prix_Unitaire" numFmtId="0">
      <sharedItems containsSemiMixedTypes="0" containsString="0" containsNumber="1" containsInteger="1" minValue="10000" maxValue="350000"/>
    </cacheField>
    <cacheField name="Chiffre d'Affaires" numFmtId="0">
      <sharedItems containsSemiMixedTypes="0" containsString="0" containsNumber="1" containsInteger="1" minValue="50000" maxValue="700000"/>
    </cacheField>
    <cacheField name="Nom du mois" numFmtId="0">
      <sharedItems count="1">
        <s v="août"/>
      </sharedItems>
    </cacheField>
    <cacheField name="Date" numFmtId="14">
      <sharedItems containsSemiMixedTypes="0" containsNonDate="0" containsDate="1" containsString="0" minDate="2026-08-01T00:00:00" maxDate="2026-08-09T00:00:00"/>
    </cacheField>
  </cacheFields>
  <extLst>
    <ext xmlns:x14="http://schemas.microsoft.com/office/spreadsheetml/2009/9/main" uri="{725AE2AE-9491-48be-B2B4-4EB974FC3084}">
      <x14:pivotCacheDefinition pivotCacheId="16852443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V001"/>
    <s v="C001"/>
    <s v="Ali"/>
    <x v="0"/>
    <x v="0"/>
    <x v="0"/>
    <n v="2"/>
    <n v="350000"/>
    <n v="700000"/>
    <x v="0"/>
    <d v="2026-08-01T00:00:00"/>
  </r>
  <r>
    <s v="V005"/>
    <s v="C004"/>
    <s v="Awa"/>
    <x v="1"/>
    <x v="0"/>
    <x v="0"/>
    <n v="1"/>
    <n v="350000"/>
    <n v="350000"/>
    <x v="0"/>
    <d v="2026-08-04T00:00:00"/>
  </r>
  <r>
    <s v="V002"/>
    <s v="C002"/>
    <s v="Fatou"/>
    <x v="2"/>
    <x v="1"/>
    <x v="1"/>
    <n v="5"/>
    <n v="10000"/>
    <n v="50000"/>
    <x v="0"/>
    <d v="2026-08-02T00:00:00"/>
  </r>
  <r>
    <s v="V004"/>
    <s v="C003"/>
    <s v="Moussa"/>
    <x v="0"/>
    <x v="2"/>
    <x v="0"/>
    <n v="2"/>
    <n v="120000"/>
    <n v="240000"/>
    <x v="0"/>
    <d v="2026-08-03T00:00:00"/>
  </r>
  <r>
    <s v="V007"/>
    <s v="C005"/>
    <s v="Ousmane"/>
    <x v="0"/>
    <x v="3"/>
    <x v="1"/>
    <n v="4"/>
    <n v="15000"/>
    <n v="60000"/>
    <x v="0"/>
    <d v="2026-08-05T00:00:00"/>
  </r>
  <r>
    <s v="V010"/>
    <s v="C006"/>
    <s v="Mariama"/>
    <x v="2"/>
    <x v="4"/>
    <x v="2"/>
    <n v="3"/>
    <n v="25000"/>
    <n v="75000"/>
    <x v="0"/>
    <d v="2026-08-08T00:00:00"/>
  </r>
</pivotCacheRecord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7" xr16:uid="{0354CE07-BAF8-40BB-8D87-8ABA4932E30E}" autoFormatId="16" applyNumberFormats="0" applyBorderFormats="0" applyFontFormats="0" applyPatternFormats="0" applyAlignmentFormats="0" applyWidthHeightFormats="0">
  <queryTableRefresh nextId="17">
    <queryTableFields count="11">
      <queryTableField id="1" name="ID_Vente" tableColumnId="7"/>
      <queryTableField id="2" name="ID_Client" tableColumnId="2"/>
      <queryTableField id="7" name="Nom" tableColumnId="8"/>
      <queryTableField id="8" name="Ville" tableColumnId="9"/>
      <queryTableField id="3" name="Produit" tableColumnId="3"/>
      <queryTableField id="9" name="Catégorie" tableColumnId="10"/>
      <queryTableField id="4" name="Quantité" tableColumnId="4"/>
      <queryTableField id="5" name="Prix_Unitaire" tableColumnId="5"/>
      <queryTableField id="10" name="Chiffre d'Affaires" tableColumnId="11"/>
      <queryTableField id="11" name="Nom du mois" tableColumnId="12"/>
      <queryTableField id="6" name="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B63294BF-17DF-4039-BA8C-F47DBF91907E}" autoFormatId="16" applyNumberFormats="0" applyBorderFormats="0" applyFontFormats="0" applyPatternFormats="0" applyAlignmentFormats="0" applyWidthHeightFormats="0">
  <queryTableRefresh nextId="4">
    <queryTableFields count="3">
      <queryTableField id="1" name="ID_Client" tableColumnId="4"/>
      <queryTableField id="2" name="Nom" tableColumnId="2"/>
      <queryTableField id="3" name="Vill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77397F18-E911-48FA-9ADF-A4D2521FA322}" autoFormatId="16" applyNumberFormats="0" applyBorderFormats="0" applyFontFormats="0" applyPatternFormats="0" applyAlignmentFormats="0" applyWidthHeightFormats="0">
  <queryTableRefresh nextId="3">
    <queryTableFields count="2">
      <queryTableField id="1" name="Produit" tableColumnId="3"/>
      <queryTableField id="2" name="Catégori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74C7D82B-9BEC-40C9-A046-F57AE4A80E68}" autoFormatId="16" applyNumberFormats="0" applyBorderFormats="0" applyFontFormats="0" applyPatternFormats="0" applyAlignmentFormats="0" applyWidthHeightFormats="0">
  <queryTableRefresh nextId="5">
    <queryTableFields count="4">
      <queryTableField id="1" name="Ville" tableColumnId="5"/>
      <queryTableField id="2" name="Nombre de ventes" tableColumnId="2"/>
      <queryTableField id="3" name="Quantité total vendu" tableColumnId="3"/>
      <queryTableField id="4" name="CA Total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464AB1F0-9B32-48E6-B413-24040432C8BE}" autoFormatId="16" applyNumberFormats="0" applyBorderFormats="0" applyFontFormats="0" applyPatternFormats="0" applyAlignmentFormats="0" applyWidthHeightFormats="0">
  <queryTableRefresh nextId="5">
    <queryTableFields count="4">
      <queryTableField id="1" name="Produit" tableColumnId="5"/>
      <queryTableField id="2" name="Nombre de ventes" tableColumnId="2"/>
      <queryTableField id="3" name="Quantité total vendu" tableColumnId="3"/>
      <queryTableField id="4" name="CA Total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BCFB725B-4A0C-4412-A345-4872A4380B1B}" autoFormatId="16" applyNumberFormats="0" applyBorderFormats="0" applyFontFormats="0" applyPatternFormats="0" applyAlignmentFormats="0" applyWidthHeightFormats="0">
  <queryTableRefresh nextId="5">
    <queryTableFields count="4">
      <queryTableField id="1" name="Nom du mois" tableColumnId="5"/>
      <queryTableField id="2" name="Nombre de ventes" tableColumnId="2"/>
      <queryTableField id="3" name="Quantité total vendu" tableColumnId="3"/>
      <queryTableField id="4" name="CA Total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959F774-5724-4B94-9EAD-F58E4765FDA3}" autoFormatId="16" applyNumberFormats="0" applyBorderFormats="0" applyFontFormats="0" applyPatternFormats="0" applyAlignmentFormats="0" applyWidthHeightFormats="0">
  <queryTableRefresh nextId="12">
    <queryTableFields count="11">
      <queryTableField id="1" name="ID_Vente" tableColumnId="12"/>
      <queryTableField id="2" name="ID_Client" tableColumnId="2"/>
      <queryTableField id="3" name="Nom" tableColumnId="3"/>
      <queryTableField id="4" name="Ville" tableColumnId="4"/>
      <queryTableField id="5" name="Produit" tableColumnId="5"/>
      <queryTableField id="6" name="Catégorie" tableColumnId="6"/>
      <queryTableField id="7" name="Quantité" tableColumnId="7"/>
      <queryTableField id="8" name="Prix_Unitaire" tableColumnId="8"/>
      <queryTableField id="9" name="Chiffre d'Affaires" tableColumnId="9"/>
      <queryTableField id="10" name="Nom du mois" tableColumnId="10"/>
      <queryTableField id="11" name="Date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" xr10:uid="{CCF63949-C620-4701-B25F-28D869F1D1BE}" sourceName="Ville">
  <data>
    <tabular pivotCacheId="1685244349">
      <items count="3">
        <i x="0" s="1"/>
        <i x="1" s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" xr10:uid="{047CD3C4-6305-4482-9FBF-728130D8CEE8}" sourceName="Produit">
  <data>
    <tabular pivotCacheId="1685244349">
      <items count="5">
        <i x="3"/>
        <i x="2"/>
        <i x="0" s="1"/>
        <i x="4" s="1" nd="1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égorie" xr10:uid="{2DC7A97F-A562-4CD8-9106-E98203EE1A61}" sourceName="Catégorie">
  <data>
    <tabular pivotCacheId="1685244349">
      <items count="3">
        <i x="1" s="1"/>
        <i x="0" s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ille 1" xr10:uid="{8EC90B71-E465-4BB3-A02D-D29792574D2B}" cache="Segment_Ville" caption="Ville" rowHeight="360000"/>
  <slicer name="Produit 1" xr10:uid="{EF7667EC-A88F-408F-9246-0193E450C40E}" cache="Segment_Produit" caption="Produit" rowHeight="360000"/>
  <slicer name="Catégorie 1" xr10:uid="{C16E51B4-1FC2-4FB3-9996-490F4F6075A8}" cache="Segment_Catégorie" caption="Catégorie" rowHeight="324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136F67-A060-42F0-AD25-4F7E6E96F121}" name="Ventes" displayName="Ventes" ref="A1:K7" tableType="queryTable" totalsRowShown="0">
  <autoFilter ref="A1:K7" xr:uid="{B8136F67-A060-42F0-AD25-4F7E6E96F121}"/>
  <tableColumns count="11">
    <tableColumn id="7" xr3:uid="{41E4460C-BEE2-4E7D-AC29-BA82ED7BA1E7}" uniqueName="7" name="ID_Vente" queryTableFieldId="1" dataDxfId="41"/>
    <tableColumn id="2" xr3:uid="{EB8DBBF8-792B-49BE-8B23-5BD445C147D7}" uniqueName="2" name="ID_Client" queryTableFieldId="2" dataDxfId="40"/>
    <tableColumn id="8" xr3:uid="{6FEA32B4-2AA2-42DA-8A72-8CC92C16B421}" uniqueName="8" name="Nom" queryTableFieldId="7" dataDxfId="39"/>
    <tableColumn id="9" xr3:uid="{01B6278A-F3D1-4509-AE37-1CDB7F0476C2}" uniqueName="9" name="Ville" queryTableFieldId="8" dataDxfId="38"/>
    <tableColumn id="3" xr3:uid="{2C35CB03-5BEC-418B-9B5B-9C1AB8C10A14}" uniqueName="3" name="Produit" queryTableFieldId="3" dataDxfId="37"/>
    <tableColumn id="10" xr3:uid="{3CA27E32-1EFD-47CD-9353-7E5B131039FF}" uniqueName="10" name="Catégorie" queryTableFieldId="9" dataDxfId="36"/>
    <tableColumn id="4" xr3:uid="{CF5B9384-F22F-4F46-8817-3115744E8BC1}" uniqueName="4" name="Quantité" queryTableFieldId="4" dataDxfId="35"/>
    <tableColumn id="5" xr3:uid="{2BE03B1B-C65D-4353-8F67-15B23CC781D1}" uniqueName="5" name="Prix_Unitaire" queryTableFieldId="5" dataDxfId="34"/>
    <tableColumn id="11" xr3:uid="{58AFCD84-2C87-4A46-AEAB-2A0E939B0E69}" uniqueName="11" name="Chiffre d'Affaires" queryTableFieldId="10"/>
    <tableColumn id="12" xr3:uid="{5532E77E-2570-45DE-B540-DFA7A1CBCBB1}" uniqueName="12" name="Nom du mois" queryTableFieldId="11" dataDxfId="33"/>
    <tableColumn id="6" xr3:uid="{D7EFBAD8-2CB5-47F5-9DDF-847912CB2F43}" uniqueName="6" name="Date" queryTableFieldId="6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69EDAD-E71F-463E-99AC-E85F69639E07}" name="Clients" displayName="Clients" ref="A1:C7" tableType="queryTable" totalsRowShown="0">
  <autoFilter ref="A1:C7" xr:uid="{9469EDAD-E71F-463E-99AC-E85F69639E07}"/>
  <tableColumns count="3">
    <tableColumn id="4" xr3:uid="{602D9559-B4D9-40DC-A31E-C9A4E603F846}" uniqueName="4" name="ID_Client" queryTableFieldId="1" dataDxfId="31"/>
    <tableColumn id="2" xr3:uid="{30A728B4-09BB-4556-A9CE-B32CDBD27C62}" uniqueName="2" name="Nom" queryTableFieldId="2" dataDxfId="30"/>
    <tableColumn id="3" xr3:uid="{8AEF1D7D-082F-4BB4-896A-FC798C1ECDEF}" uniqueName="3" name="Ville" queryTableFieldId="3" dataDxf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0BA2BE-59E3-4D76-A4D6-F976B7741668}" name="Produits" displayName="Produits" ref="A1:B6" tableType="queryTable" totalsRowShown="0">
  <autoFilter ref="A1:B6" xr:uid="{7B0BA2BE-59E3-4D76-A4D6-F976B7741668}"/>
  <tableColumns count="2">
    <tableColumn id="3" xr3:uid="{545C3FF1-209B-4F7F-B7E3-0C079A89B2C7}" uniqueName="3" name="Produit" queryTableFieldId="1" dataDxfId="28"/>
    <tableColumn id="2" xr3:uid="{598A08E9-C714-4384-9EBC-1460EDB29172}" uniqueName="2" name="Catégorie" queryTableFieldId="2" dataDxf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5079A55-11A7-4984-AB61-2D52C8E8AC6A}" name="Analyse_par_Ventes" displayName="Analyse_par_Ventes" ref="A1:D4" tableType="queryTable" totalsRowShown="0">
  <autoFilter ref="A1:D4" xr:uid="{85079A55-11A7-4984-AB61-2D52C8E8AC6A}"/>
  <tableColumns count="4">
    <tableColumn id="5" xr3:uid="{7CF85547-2544-4C5E-8F95-B27707201503}" uniqueName="5" name="Ville" queryTableFieldId="1" dataDxfId="14"/>
    <tableColumn id="2" xr3:uid="{A271CF51-EE07-4D7C-B245-A74D297368C6}" uniqueName="2" name="Nombre de ventes" queryTableFieldId="2" dataDxfId="15"/>
    <tableColumn id="3" xr3:uid="{3E960ABB-157A-470F-B5B8-3A960903A03B}" uniqueName="3" name="Quantité total vendu" queryTableFieldId="3" dataDxfId="16"/>
    <tableColumn id="4" xr3:uid="{5A4F046F-6A14-444F-8351-7EAE22CBA55E}" uniqueName="4" name="CA Total" queryTableFieldId="4" dataDxf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D182C39-1455-43E9-8FE8-D5AB0F602EC2}" name="Analyse_par_Produit" displayName="Analyse_par_Produit" ref="A1:D6" tableType="queryTable" totalsRowShown="0">
  <autoFilter ref="A1:D6" xr:uid="{4D182C39-1455-43E9-8FE8-D5AB0F602EC2}"/>
  <sortState xmlns:xlrd2="http://schemas.microsoft.com/office/spreadsheetml/2017/richdata2" ref="A2:D6">
    <sortCondition descending="1" ref="D1:D6"/>
  </sortState>
  <tableColumns count="4">
    <tableColumn id="5" xr3:uid="{27CD522A-7351-40ED-A6B6-A99B5BF005BC}" uniqueName="5" name="Produit" queryTableFieldId="1" dataDxfId="10"/>
    <tableColumn id="2" xr3:uid="{4BFC982C-2B31-4670-BF42-ADEDE22A0D63}" uniqueName="2" name="Nombre de ventes" queryTableFieldId="2" dataDxfId="11"/>
    <tableColumn id="3" xr3:uid="{E095E66A-01BA-4E4E-98A3-5EAF7601D78D}" uniqueName="3" name="Quantité total vendu" queryTableFieldId="3" dataDxfId="12"/>
    <tableColumn id="4" xr3:uid="{581CE02D-826D-475F-87D2-57560E6BE361}" uniqueName="4" name="CA Total" queryTableFieldId="4" dataDxfId="13" dataCellStyle="Monétaire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977A00-028D-454C-AB81-4A61CC7E3A5F}" name="Analyse_par_Mois" displayName="Analyse_par_Mois" ref="A1:D2" tableType="queryTable" totalsRowShown="0" headerRowDxfId="18" headerRowBorderDxfId="20" tableBorderDxfId="21" totalsRowBorderDxfId="19">
  <autoFilter ref="A1:D2" xr:uid="{8A977A00-028D-454C-AB81-4A61CC7E3A5F}"/>
  <tableColumns count="4">
    <tableColumn id="5" xr3:uid="{AFF57ACD-C151-4F9D-8107-245017615942}" uniqueName="5" name="Nom du mois" queryTableFieldId="1" dataDxfId="7"/>
    <tableColumn id="2" xr3:uid="{745DB078-729B-4648-89C2-901B682F1D56}" uniqueName="2" name="Nombre de ventes" queryTableFieldId="2" dataDxfId="8"/>
    <tableColumn id="3" xr3:uid="{B008D8E7-4C4F-4D8E-8A36-7F543A4205D0}" uniqueName="3" name="Quantité total vendu" queryTableFieldId="3" dataDxfId="9"/>
    <tableColumn id="4" xr3:uid="{F4B518A9-3950-4D9E-BD9B-A195BB559A4E}" uniqueName="4" name="CA Total" queryTableFieldId="4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F78C481-7EEC-4D45-9E20-EB053E5ED576}" name="Analyse" displayName="Analyse" ref="A1:K7" tableType="queryTable" totalsRowShown="0">
  <autoFilter ref="A1:K7" xr:uid="{BF78C481-7EEC-4D45-9E20-EB053E5ED576}"/>
  <tableColumns count="11">
    <tableColumn id="12" xr3:uid="{F7813A1A-A11A-4E33-BF6E-183F1E387885}" uniqueName="12" name="ID_Vente" queryTableFieldId="1" dataDxfId="26"/>
    <tableColumn id="2" xr3:uid="{DD968FD1-19EB-4631-8F95-50A2B5E06E70}" uniqueName="2" name="ID_Client" queryTableFieldId="2" dataDxfId="25"/>
    <tableColumn id="3" xr3:uid="{30CB1B61-DAF5-44C7-8F52-61EB7622201D}" uniqueName="3" name="Nom" queryTableFieldId="3" dataDxfId="24"/>
    <tableColumn id="4" xr3:uid="{874DFE3C-6C17-4E3F-B776-45F0DD8A612B}" uniqueName="4" name="Ville" queryTableFieldId="4" dataDxfId="23"/>
    <tableColumn id="5" xr3:uid="{07F7005D-8336-4162-AD1F-D181E6DE040B}" uniqueName="5" name="Produit" queryTableFieldId="5" dataDxfId="22"/>
    <tableColumn id="6" xr3:uid="{BC49AAED-81B2-4944-906A-E04C2B578486}" uniqueName="6" name="Catégorie" queryTableFieldId="6" dataDxfId="5"/>
    <tableColumn id="7" xr3:uid="{427109E7-BDF2-4D44-9A34-91918E3063F9}" uniqueName="7" name="Quantité" queryTableFieldId="7" dataDxfId="4"/>
    <tableColumn id="8" xr3:uid="{C0073104-E1D1-4BC1-A6E5-3D6DBD9674DD}" uniqueName="8" name="Prix_Unitaire" queryTableFieldId="8" dataDxfId="3"/>
    <tableColumn id="9" xr3:uid="{DB18AB16-D9F6-445C-965A-C92C84D166BB}" uniqueName="9" name="Chiffre d'Affaires" queryTableFieldId="9" dataDxfId="2"/>
    <tableColumn id="10" xr3:uid="{9864CE0E-283F-4730-879A-D46BC5E380DB}" uniqueName="10" name="Nom du mois" queryTableFieldId="10" dataDxfId="0"/>
    <tableColumn id="11" xr3:uid="{DEEA7A22-ECCC-4968-99A8-E689B7AC8E38}" uniqueName="11" name="Date" queryTableFieldId="1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0B22-F839-4314-8992-916473FE6381}">
  <dimension ref="A1:K7"/>
  <sheetViews>
    <sheetView workbookViewId="0">
      <selection activeCell="K19" sqref="K19"/>
    </sheetView>
  </sheetViews>
  <sheetFormatPr baseColWidth="10" defaultRowHeight="14.4" x14ac:dyDescent="0.3"/>
  <cols>
    <col min="1" max="1" width="11" bestFit="1" customWidth="1"/>
    <col min="2" max="2" width="10.77734375" bestFit="1" customWidth="1"/>
    <col min="3" max="3" width="8.6640625" bestFit="1" customWidth="1"/>
    <col min="4" max="4" width="8" bestFit="1" customWidth="1"/>
    <col min="5" max="5" width="9.77734375" bestFit="1" customWidth="1"/>
    <col min="6" max="6" width="11.6640625" bestFit="1" customWidth="1"/>
    <col min="7" max="7" width="10.5546875" customWidth="1"/>
    <col min="8" max="8" width="14" bestFit="1" customWidth="1"/>
    <col min="9" max="9" width="17.33203125" bestFit="1" customWidth="1"/>
    <col min="10" max="10" width="14.44140625" bestFit="1" customWidth="1"/>
    <col min="11" max="11" width="10.5546875" customWidth="1"/>
  </cols>
  <sheetData>
    <row r="1" spans="1:11" x14ac:dyDescent="0.3">
      <c r="A1" s="1" t="s">
        <v>0</v>
      </c>
      <c r="B1" s="1" t="s">
        <v>1</v>
      </c>
      <c r="C1" t="s">
        <v>23</v>
      </c>
      <c r="D1" t="s">
        <v>24</v>
      </c>
      <c r="E1" s="1" t="s">
        <v>2</v>
      </c>
      <c r="F1" t="s">
        <v>34</v>
      </c>
      <c r="G1" s="1" t="s">
        <v>3</v>
      </c>
      <c r="H1" s="1" t="s">
        <v>4</v>
      </c>
      <c r="I1" t="s">
        <v>44</v>
      </c>
      <c r="J1" t="s">
        <v>42</v>
      </c>
      <c r="K1" s="1" t="s">
        <v>5</v>
      </c>
    </row>
    <row r="2" spans="1:11" x14ac:dyDescent="0.3">
      <c r="A2" s="1" t="s">
        <v>6</v>
      </c>
      <c r="B2" s="1" t="s">
        <v>7</v>
      </c>
      <c r="C2" s="1" t="s">
        <v>25</v>
      </c>
      <c r="D2" s="1" t="s">
        <v>26</v>
      </c>
      <c r="E2" s="1" t="s">
        <v>8</v>
      </c>
      <c r="F2" s="1" t="s">
        <v>35</v>
      </c>
      <c r="G2" s="1">
        <v>2</v>
      </c>
      <c r="H2" s="1">
        <v>350000</v>
      </c>
      <c r="I2">
        <v>700000</v>
      </c>
      <c r="J2" s="1" t="s">
        <v>43</v>
      </c>
      <c r="K2" s="2">
        <v>46235</v>
      </c>
    </row>
    <row r="3" spans="1:11" x14ac:dyDescent="0.3">
      <c r="A3" s="1" t="s">
        <v>16</v>
      </c>
      <c r="B3" s="1" t="s">
        <v>17</v>
      </c>
      <c r="C3" s="1" t="s">
        <v>30</v>
      </c>
      <c r="D3" s="1" t="s">
        <v>31</v>
      </c>
      <c r="E3" s="1" t="s">
        <v>8</v>
      </c>
      <c r="F3" s="1" t="s">
        <v>35</v>
      </c>
      <c r="G3" s="1">
        <v>1</v>
      </c>
      <c r="H3" s="1">
        <v>350000</v>
      </c>
      <c r="I3">
        <v>350000</v>
      </c>
      <c r="J3" s="1" t="s">
        <v>43</v>
      </c>
      <c r="K3" s="2">
        <v>46238</v>
      </c>
    </row>
    <row r="4" spans="1:11" x14ac:dyDescent="0.3">
      <c r="A4" s="1" t="s">
        <v>9</v>
      </c>
      <c r="B4" s="1" t="s">
        <v>10</v>
      </c>
      <c r="C4" s="1" t="s">
        <v>27</v>
      </c>
      <c r="D4" s="1" t="s">
        <v>28</v>
      </c>
      <c r="E4" s="1" t="s">
        <v>11</v>
      </c>
      <c r="F4" s="1" t="s">
        <v>36</v>
      </c>
      <c r="G4" s="1">
        <v>5</v>
      </c>
      <c r="H4" s="1">
        <v>10000</v>
      </c>
      <c r="I4">
        <v>50000</v>
      </c>
      <c r="J4" s="1" t="s">
        <v>43</v>
      </c>
      <c r="K4" s="2">
        <v>46236</v>
      </c>
    </row>
    <row r="5" spans="1:11" x14ac:dyDescent="0.3">
      <c r="A5" s="1" t="s">
        <v>13</v>
      </c>
      <c r="B5" s="1" t="s">
        <v>14</v>
      </c>
      <c r="C5" s="1" t="s">
        <v>29</v>
      </c>
      <c r="D5" s="1" t="s">
        <v>26</v>
      </c>
      <c r="E5" s="1" t="s">
        <v>15</v>
      </c>
      <c r="F5" s="1" t="s">
        <v>35</v>
      </c>
      <c r="G5" s="1">
        <v>2</v>
      </c>
      <c r="H5" s="1">
        <v>120000</v>
      </c>
      <c r="I5">
        <v>240000</v>
      </c>
      <c r="J5" s="1" t="s">
        <v>43</v>
      </c>
      <c r="K5" s="2">
        <v>46237</v>
      </c>
    </row>
    <row r="6" spans="1:11" x14ac:dyDescent="0.3">
      <c r="A6" s="1" t="s">
        <v>18</v>
      </c>
      <c r="B6" s="1" t="s">
        <v>19</v>
      </c>
      <c r="C6" s="1" t="s">
        <v>32</v>
      </c>
      <c r="D6" s="1" t="s">
        <v>26</v>
      </c>
      <c r="E6" s="1" t="s">
        <v>12</v>
      </c>
      <c r="F6" s="1" t="s">
        <v>36</v>
      </c>
      <c r="G6" s="1">
        <v>4</v>
      </c>
      <c r="H6" s="1">
        <v>15000</v>
      </c>
      <c r="I6">
        <v>60000</v>
      </c>
      <c r="J6" s="1" t="s">
        <v>43</v>
      </c>
      <c r="K6" s="2">
        <v>46239</v>
      </c>
    </row>
    <row r="7" spans="1:11" x14ac:dyDescent="0.3">
      <c r="A7" s="1" t="s">
        <v>20</v>
      </c>
      <c r="B7" s="1" t="s">
        <v>21</v>
      </c>
      <c r="C7" s="1" t="s">
        <v>33</v>
      </c>
      <c r="D7" s="1" t="s">
        <v>28</v>
      </c>
      <c r="E7" s="1" t="s">
        <v>22</v>
      </c>
      <c r="F7" s="1" t="s">
        <v>37</v>
      </c>
      <c r="G7" s="1">
        <v>3</v>
      </c>
      <c r="H7" s="1">
        <v>25000</v>
      </c>
      <c r="I7">
        <v>75000</v>
      </c>
      <c r="J7" s="1" t="s">
        <v>43</v>
      </c>
      <c r="K7" s="2">
        <v>46242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79D9-6D68-4F25-9358-5B0F229D0614}">
  <dimension ref="A1:C7"/>
  <sheetViews>
    <sheetView workbookViewId="0">
      <selection sqref="A1:C7"/>
    </sheetView>
  </sheetViews>
  <sheetFormatPr baseColWidth="10" defaultRowHeight="14.4" x14ac:dyDescent="0.3"/>
  <cols>
    <col min="1" max="1" width="10.77734375" bestFit="1" customWidth="1"/>
    <col min="2" max="2" width="8.6640625" bestFit="1" customWidth="1"/>
    <col min="3" max="3" width="8" bestFit="1" customWidth="1"/>
  </cols>
  <sheetData>
    <row r="1" spans="1:3" x14ac:dyDescent="0.3">
      <c r="A1" s="1" t="s">
        <v>1</v>
      </c>
      <c r="B1" s="1" t="s">
        <v>23</v>
      </c>
      <c r="C1" s="1" t="s">
        <v>24</v>
      </c>
    </row>
    <row r="2" spans="1:3" x14ac:dyDescent="0.3">
      <c r="A2" s="1" t="s">
        <v>7</v>
      </c>
      <c r="B2" s="1" t="s">
        <v>25</v>
      </c>
      <c r="C2" s="1" t="s">
        <v>26</v>
      </c>
    </row>
    <row r="3" spans="1:3" x14ac:dyDescent="0.3">
      <c r="A3" s="1" t="s">
        <v>10</v>
      </c>
      <c r="B3" s="1" t="s">
        <v>27</v>
      </c>
      <c r="C3" s="1" t="s">
        <v>28</v>
      </c>
    </row>
    <row r="4" spans="1:3" x14ac:dyDescent="0.3">
      <c r="A4" s="1" t="s">
        <v>14</v>
      </c>
      <c r="B4" s="1" t="s">
        <v>29</v>
      </c>
      <c r="C4" s="1" t="s">
        <v>26</v>
      </c>
    </row>
    <row r="5" spans="1:3" x14ac:dyDescent="0.3">
      <c r="A5" s="1" t="s">
        <v>17</v>
      </c>
      <c r="B5" s="1" t="s">
        <v>30</v>
      </c>
      <c r="C5" s="1" t="s">
        <v>31</v>
      </c>
    </row>
    <row r="6" spans="1:3" x14ac:dyDescent="0.3">
      <c r="A6" s="1" t="s">
        <v>19</v>
      </c>
      <c r="B6" s="1" t="s">
        <v>32</v>
      </c>
      <c r="C6" s="1" t="s">
        <v>26</v>
      </c>
    </row>
    <row r="7" spans="1:3" x14ac:dyDescent="0.3">
      <c r="A7" s="1" t="s">
        <v>21</v>
      </c>
      <c r="B7" s="1" t="s">
        <v>33</v>
      </c>
      <c r="C7" s="1" t="s">
        <v>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4DED-65D1-48CC-84DC-FC2C42B05829}">
  <dimension ref="A1:B6"/>
  <sheetViews>
    <sheetView workbookViewId="0">
      <selection activeCell="D24" sqref="D24"/>
    </sheetView>
  </sheetViews>
  <sheetFormatPr baseColWidth="10" defaultRowHeight="14.4" x14ac:dyDescent="0.3"/>
  <cols>
    <col min="1" max="1" width="9.77734375" bestFit="1" customWidth="1"/>
    <col min="2" max="2" width="11.6640625" bestFit="1" customWidth="1"/>
  </cols>
  <sheetData>
    <row r="1" spans="1:2" x14ac:dyDescent="0.3">
      <c r="A1" s="1" t="s">
        <v>2</v>
      </c>
      <c r="B1" s="1" t="s">
        <v>34</v>
      </c>
    </row>
    <row r="2" spans="1:2" x14ac:dyDescent="0.3">
      <c r="A2" s="1" t="s">
        <v>8</v>
      </c>
      <c r="B2" s="1" t="s">
        <v>35</v>
      </c>
    </row>
    <row r="3" spans="1:2" x14ac:dyDescent="0.3">
      <c r="A3" s="1" t="s">
        <v>11</v>
      </c>
      <c r="B3" s="1" t="s">
        <v>36</v>
      </c>
    </row>
    <row r="4" spans="1:2" x14ac:dyDescent="0.3">
      <c r="A4" s="1" t="s">
        <v>12</v>
      </c>
      <c r="B4" s="1" t="s">
        <v>36</v>
      </c>
    </row>
    <row r="5" spans="1:2" x14ac:dyDescent="0.3">
      <c r="A5" s="1" t="s">
        <v>15</v>
      </c>
      <c r="B5" s="1" t="s">
        <v>35</v>
      </c>
    </row>
    <row r="6" spans="1:2" x14ac:dyDescent="0.3">
      <c r="A6" s="1" t="s">
        <v>22</v>
      </c>
      <c r="B6" s="1" t="s">
        <v>37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6368-C373-410F-85D6-A92CF18EE17E}">
  <dimension ref="A1:D4"/>
  <sheetViews>
    <sheetView workbookViewId="0">
      <selection activeCell="C20" sqref="C20"/>
    </sheetView>
  </sheetViews>
  <sheetFormatPr baseColWidth="10" defaultRowHeight="14.4" x14ac:dyDescent="0.3"/>
  <cols>
    <col min="1" max="1" width="18.33203125" style="3" customWidth="1"/>
    <col min="2" max="2" width="21.33203125" style="3" customWidth="1"/>
    <col min="3" max="3" width="20.77734375" bestFit="1" customWidth="1"/>
    <col min="4" max="4" width="18.33203125" style="24" customWidth="1"/>
  </cols>
  <sheetData>
    <row r="1" spans="1:4" x14ac:dyDescent="0.3">
      <c r="A1" s="25" t="s">
        <v>24</v>
      </c>
      <c r="B1" s="25" t="s">
        <v>39</v>
      </c>
      <c r="C1" s="1" t="s">
        <v>40</v>
      </c>
      <c r="D1" s="24" t="s">
        <v>41</v>
      </c>
    </row>
    <row r="2" spans="1:4" x14ac:dyDescent="0.3">
      <c r="A2" s="25" t="s">
        <v>26</v>
      </c>
      <c r="B2" s="25">
        <v>3</v>
      </c>
      <c r="C2" s="1">
        <v>8</v>
      </c>
      <c r="D2" s="24">
        <v>1000000</v>
      </c>
    </row>
    <row r="3" spans="1:4" x14ac:dyDescent="0.3">
      <c r="A3" s="25" t="s">
        <v>31</v>
      </c>
      <c r="B3" s="25">
        <v>1</v>
      </c>
      <c r="C3" s="1">
        <v>1</v>
      </c>
      <c r="D3" s="24">
        <v>350000</v>
      </c>
    </row>
    <row r="4" spans="1:4" x14ac:dyDescent="0.3">
      <c r="A4" s="25" t="s">
        <v>28</v>
      </c>
      <c r="B4" s="25">
        <v>2</v>
      </c>
      <c r="C4" s="1">
        <v>8</v>
      </c>
      <c r="D4" s="24">
        <v>125000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529-D354-4746-B7E9-4F26C6B2E9BA}">
  <dimension ref="A1:D6"/>
  <sheetViews>
    <sheetView workbookViewId="0">
      <selection activeCell="C13" sqref="C13"/>
    </sheetView>
  </sheetViews>
  <sheetFormatPr baseColWidth="10" defaultRowHeight="14.4" x14ac:dyDescent="0.3"/>
  <cols>
    <col min="1" max="1" width="15.88671875" style="3" customWidth="1"/>
    <col min="2" max="2" width="18.77734375" style="3" bestFit="1" customWidth="1"/>
    <col min="3" max="3" width="20.77734375" style="3" bestFit="1" customWidth="1"/>
    <col min="4" max="4" width="16.6640625" style="26" customWidth="1"/>
  </cols>
  <sheetData>
    <row r="1" spans="1:4" x14ac:dyDescent="0.3">
      <c r="A1" s="25" t="s">
        <v>2</v>
      </c>
      <c r="B1" s="25" t="s">
        <v>39</v>
      </c>
      <c r="C1" s="25" t="s">
        <v>40</v>
      </c>
      <c r="D1" s="26" t="s">
        <v>41</v>
      </c>
    </row>
    <row r="2" spans="1:4" x14ac:dyDescent="0.3">
      <c r="A2" s="25" t="s">
        <v>8</v>
      </c>
      <c r="B2" s="25">
        <v>2</v>
      </c>
      <c r="C2" s="25">
        <v>3</v>
      </c>
      <c r="D2" s="26">
        <v>1050000</v>
      </c>
    </row>
    <row r="3" spans="1:4" x14ac:dyDescent="0.3">
      <c r="A3" s="25" t="s">
        <v>15</v>
      </c>
      <c r="B3" s="25">
        <v>1</v>
      </c>
      <c r="C3" s="25">
        <v>2</v>
      </c>
      <c r="D3" s="26">
        <v>240000</v>
      </c>
    </row>
    <row r="4" spans="1:4" x14ac:dyDescent="0.3">
      <c r="A4" s="25" t="s">
        <v>22</v>
      </c>
      <c r="B4" s="25">
        <v>1</v>
      </c>
      <c r="C4" s="25">
        <v>3</v>
      </c>
      <c r="D4" s="26">
        <v>75000</v>
      </c>
    </row>
    <row r="5" spans="1:4" x14ac:dyDescent="0.3">
      <c r="A5" s="25" t="s">
        <v>12</v>
      </c>
      <c r="B5" s="25">
        <v>1</v>
      </c>
      <c r="C5" s="25">
        <v>4</v>
      </c>
      <c r="D5" s="26">
        <v>60000</v>
      </c>
    </row>
    <row r="6" spans="1:4" x14ac:dyDescent="0.3">
      <c r="A6" s="25" t="s">
        <v>11</v>
      </c>
      <c r="B6" s="25">
        <v>1</v>
      </c>
      <c r="C6" s="25">
        <v>5</v>
      </c>
      <c r="D6" s="26">
        <v>50000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233D-AE9A-4B24-A097-6288B723B5FF}">
  <dimension ref="A1:D2"/>
  <sheetViews>
    <sheetView workbookViewId="0">
      <selection activeCell="D10" sqref="D10"/>
    </sheetView>
  </sheetViews>
  <sheetFormatPr baseColWidth="10" defaultRowHeight="14.4" x14ac:dyDescent="0.3"/>
  <cols>
    <col min="1" max="1" width="22.6640625" style="3" customWidth="1"/>
    <col min="2" max="2" width="18.77734375" style="3" bestFit="1" customWidth="1"/>
    <col min="3" max="3" width="20.77734375" style="3" bestFit="1" customWidth="1"/>
    <col min="4" max="4" width="19.6640625" style="6" customWidth="1"/>
  </cols>
  <sheetData>
    <row r="1" spans="1:4" x14ac:dyDescent="0.3">
      <c r="A1" s="29" t="s">
        <v>42</v>
      </c>
      <c r="B1" s="27" t="s">
        <v>39</v>
      </c>
      <c r="C1" s="27" t="s">
        <v>40</v>
      </c>
      <c r="D1" s="31" t="s">
        <v>41</v>
      </c>
    </row>
    <row r="2" spans="1:4" x14ac:dyDescent="0.3">
      <c r="A2" s="30" t="s">
        <v>43</v>
      </c>
      <c r="B2" s="28">
        <v>6</v>
      </c>
      <c r="C2" s="28">
        <v>17</v>
      </c>
      <c r="D2" s="32">
        <v>1475000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E365-1206-443D-9FC7-B29FC18AF484}">
  <dimension ref="A1:K7"/>
  <sheetViews>
    <sheetView topLeftCell="A13" workbookViewId="0">
      <selection activeCell="I14" sqref="I14"/>
    </sheetView>
  </sheetViews>
  <sheetFormatPr baseColWidth="10" defaultRowHeight="14.4" x14ac:dyDescent="0.3"/>
  <cols>
    <col min="1" max="1" width="15.77734375" customWidth="1"/>
    <col min="2" max="2" width="15.33203125" customWidth="1"/>
    <col min="3" max="3" width="12" customWidth="1"/>
    <col min="4" max="4" width="14" customWidth="1"/>
    <col min="5" max="5" width="16.88671875" customWidth="1"/>
    <col min="6" max="6" width="11.6640625" bestFit="1" customWidth="1"/>
    <col min="7" max="7" width="10.5546875" style="3" bestFit="1" customWidth="1"/>
    <col min="8" max="8" width="16.21875" style="23" bestFit="1" customWidth="1"/>
    <col min="9" max="9" width="17.33203125" style="23" bestFit="1" customWidth="1"/>
    <col min="10" max="10" width="14.44140625" style="3" bestFit="1" customWidth="1"/>
    <col min="11" max="11" width="16.6640625" customWidth="1"/>
  </cols>
  <sheetData>
    <row r="1" spans="1:11" x14ac:dyDescent="0.3">
      <c r="A1" s="1" t="s">
        <v>0</v>
      </c>
      <c r="B1" s="1" t="s">
        <v>1</v>
      </c>
      <c r="C1" s="1" t="s">
        <v>23</v>
      </c>
      <c r="D1" s="1" t="s">
        <v>24</v>
      </c>
      <c r="E1" s="1" t="s">
        <v>2</v>
      </c>
      <c r="F1" s="1" t="s">
        <v>34</v>
      </c>
      <c r="G1" s="25" t="s">
        <v>3</v>
      </c>
      <c r="H1" s="23" t="s">
        <v>4</v>
      </c>
      <c r="I1" s="23" t="s">
        <v>44</v>
      </c>
      <c r="J1" s="25" t="s">
        <v>42</v>
      </c>
      <c r="K1" s="1" t="s">
        <v>5</v>
      </c>
    </row>
    <row r="2" spans="1:11" x14ac:dyDescent="0.3">
      <c r="A2" s="1" t="s">
        <v>6</v>
      </c>
      <c r="B2" s="1" t="s">
        <v>7</v>
      </c>
      <c r="C2" s="1" t="s">
        <v>25</v>
      </c>
      <c r="D2" s="1" t="s">
        <v>26</v>
      </c>
      <c r="E2" s="1" t="s">
        <v>8</v>
      </c>
      <c r="F2" s="1" t="s">
        <v>35</v>
      </c>
      <c r="G2" s="25">
        <v>2</v>
      </c>
      <c r="H2" s="23">
        <v>350000</v>
      </c>
      <c r="I2" s="23">
        <v>700000</v>
      </c>
      <c r="J2" s="25" t="s">
        <v>43</v>
      </c>
      <c r="K2" s="2">
        <v>46235</v>
      </c>
    </row>
    <row r="3" spans="1:11" x14ac:dyDescent="0.3">
      <c r="A3" s="1" t="s">
        <v>16</v>
      </c>
      <c r="B3" s="1" t="s">
        <v>17</v>
      </c>
      <c r="C3" s="1" t="s">
        <v>30</v>
      </c>
      <c r="D3" s="1" t="s">
        <v>31</v>
      </c>
      <c r="E3" s="1" t="s">
        <v>8</v>
      </c>
      <c r="F3" s="1" t="s">
        <v>35</v>
      </c>
      <c r="G3" s="25">
        <v>1</v>
      </c>
      <c r="H3" s="23">
        <v>350000</v>
      </c>
      <c r="I3" s="23">
        <v>350000</v>
      </c>
      <c r="J3" s="25" t="s">
        <v>43</v>
      </c>
      <c r="K3" s="2">
        <v>46238</v>
      </c>
    </row>
    <row r="4" spans="1:11" x14ac:dyDescent="0.3">
      <c r="A4" s="1" t="s">
        <v>9</v>
      </c>
      <c r="B4" s="1" t="s">
        <v>10</v>
      </c>
      <c r="C4" s="1" t="s">
        <v>27</v>
      </c>
      <c r="D4" s="1" t="s">
        <v>28</v>
      </c>
      <c r="E4" s="1" t="s">
        <v>11</v>
      </c>
      <c r="F4" s="1" t="s">
        <v>36</v>
      </c>
      <c r="G4" s="25">
        <v>5</v>
      </c>
      <c r="H4" s="23">
        <v>10000</v>
      </c>
      <c r="I4" s="23">
        <v>50000</v>
      </c>
      <c r="J4" s="25" t="s">
        <v>43</v>
      </c>
      <c r="K4" s="2">
        <v>46236</v>
      </c>
    </row>
    <row r="5" spans="1:11" x14ac:dyDescent="0.3">
      <c r="A5" s="1" t="s">
        <v>13</v>
      </c>
      <c r="B5" s="1" t="s">
        <v>14</v>
      </c>
      <c r="C5" s="1" t="s">
        <v>29</v>
      </c>
      <c r="D5" s="1" t="s">
        <v>26</v>
      </c>
      <c r="E5" s="1" t="s">
        <v>15</v>
      </c>
      <c r="F5" s="1" t="s">
        <v>35</v>
      </c>
      <c r="G5" s="25">
        <v>2</v>
      </c>
      <c r="H5" s="23">
        <v>120000</v>
      </c>
      <c r="I5" s="23">
        <v>240000</v>
      </c>
      <c r="J5" s="25" t="s">
        <v>43</v>
      </c>
      <c r="K5" s="2">
        <v>46237</v>
      </c>
    </row>
    <row r="6" spans="1:11" x14ac:dyDescent="0.3">
      <c r="A6" s="1" t="s">
        <v>18</v>
      </c>
      <c r="B6" s="1" t="s">
        <v>19</v>
      </c>
      <c r="C6" s="1" t="s">
        <v>32</v>
      </c>
      <c r="D6" s="1" t="s">
        <v>26</v>
      </c>
      <c r="E6" s="1" t="s">
        <v>12</v>
      </c>
      <c r="F6" s="1" t="s">
        <v>36</v>
      </c>
      <c r="G6" s="25">
        <v>4</v>
      </c>
      <c r="H6" s="23">
        <v>15000</v>
      </c>
      <c r="I6" s="23">
        <v>60000</v>
      </c>
      <c r="J6" s="25" t="s">
        <v>43</v>
      </c>
      <c r="K6" s="2">
        <v>46239</v>
      </c>
    </row>
    <row r="7" spans="1:11" x14ac:dyDescent="0.3">
      <c r="A7" s="1" t="s">
        <v>20</v>
      </c>
      <c r="B7" s="1" t="s">
        <v>21</v>
      </c>
      <c r="C7" s="1" t="s">
        <v>33</v>
      </c>
      <c r="D7" s="1" t="s">
        <v>28</v>
      </c>
      <c r="E7" s="1" t="s">
        <v>22</v>
      </c>
      <c r="F7" s="1" t="s">
        <v>37</v>
      </c>
      <c r="G7" s="25">
        <v>3</v>
      </c>
      <c r="H7" s="23">
        <v>25000</v>
      </c>
      <c r="I7" s="23">
        <v>75000</v>
      </c>
      <c r="J7" s="25" t="s">
        <v>43</v>
      </c>
      <c r="K7" s="2">
        <v>46242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1D90-4833-4574-BD79-2598D685E240}">
  <dimension ref="D2:G40"/>
  <sheetViews>
    <sheetView zoomScale="90" workbookViewId="0">
      <selection activeCell="F6" sqref="F6:G21"/>
    </sheetView>
  </sheetViews>
  <sheetFormatPr baseColWidth="10" defaultRowHeight="14.4" x14ac:dyDescent="0.3"/>
  <cols>
    <col min="3" max="3" width="5.5546875" customWidth="1"/>
    <col min="4" max="5" width="32.109375" customWidth="1"/>
    <col min="6" max="6" width="33.88671875" customWidth="1"/>
    <col min="7" max="7" width="32.6640625" customWidth="1"/>
  </cols>
  <sheetData>
    <row r="2" spans="4:7" x14ac:dyDescent="0.3">
      <c r="D2" s="11" t="s">
        <v>48</v>
      </c>
      <c r="E2" s="12"/>
      <c r="F2" s="12"/>
      <c r="G2" s="12"/>
    </row>
    <row r="3" spans="4:7" x14ac:dyDescent="0.3">
      <c r="D3" s="13"/>
      <c r="E3" s="13"/>
      <c r="F3" s="13"/>
      <c r="G3" s="13"/>
    </row>
    <row r="4" spans="4:7" s="4" customFormat="1" ht="24.6" customHeight="1" x14ac:dyDescent="0.3">
      <c r="D4" s="5" t="s">
        <v>38</v>
      </c>
      <c r="E4" s="5" t="s">
        <v>45</v>
      </c>
      <c r="F4" s="5" t="s">
        <v>46</v>
      </c>
      <c r="G4" s="5" t="s">
        <v>47</v>
      </c>
    </row>
    <row r="5" spans="4:7" x14ac:dyDescent="0.3">
      <c r="D5" s="7">
        <f>SUM(Analyse[Chiffre d''Affaires])</f>
        <v>1475000</v>
      </c>
      <c r="E5" s="8">
        <f>SUM(Analyse[Quantité])</f>
        <v>17</v>
      </c>
      <c r="F5" s="8">
        <f>COUNTA(Analyse[ID_Vente])</f>
        <v>6</v>
      </c>
      <c r="G5" s="7">
        <f>D5/F5</f>
        <v>245833.33333333334</v>
      </c>
    </row>
    <row r="6" spans="4:7" x14ac:dyDescent="0.3">
      <c r="D6" s="17"/>
      <c r="E6" s="9"/>
      <c r="F6" s="9"/>
      <c r="G6" s="18"/>
    </row>
    <row r="7" spans="4:7" x14ac:dyDescent="0.3">
      <c r="D7" s="19"/>
      <c r="E7" s="16"/>
      <c r="F7" s="16"/>
      <c r="G7" s="20"/>
    </row>
    <row r="8" spans="4:7" x14ac:dyDescent="0.3">
      <c r="D8" s="19"/>
      <c r="E8" s="16"/>
      <c r="F8" s="16"/>
      <c r="G8" s="20"/>
    </row>
    <row r="9" spans="4:7" x14ac:dyDescent="0.3">
      <c r="D9" s="19"/>
      <c r="E9" s="16"/>
      <c r="F9" s="16"/>
      <c r="G9" s="20"/>
    </row>
    <row r="10" spans="4:7" x14ac:dyDescent="0.3">
      <c r="D10" s="19"/>
      <c r="E10" s="16"/>
      <c r="F10" s="16"/>
      <c r="G10" s="20"/>
    </row>
    <row r="11" spans="4:7" x14ac:dyDescent="0.3">
      <c r="D11" s="19"/>
      <c r="E11" s="16"/>
      <c r="F11" s="16"/>
      <c r="G11" s="20"/>
    </row>
    <row r="12" spans="4:7" x14ac:dyDescent="0.3">
      <c r="D12" s="19"/>
      <c r="E12" s="16"/>
      <c r="F12" s="16"/>
      <c r="G12" s="20"/>
    </row>
    <row r="13" spans="4:7" x14ac:dyDescent="0.3">
      <c r="D13" s="19"/>
      <c r="E13" s="16"/>
      <c r="F13" s="16"/>
      <c r="G13" s="20"/>
    </row>
    <row r="14" spans="4:7" x14ac:dyDescent="0.3">
      <c r="D14" s="19"/>
      <c r="E14" s="16"/>
      <c r="F14" s="16"/>
      <c r="G14" s="20"/>
    </row>
    <row r="15" spans="4:7" x14ac:dyDescent="0.3">
      <c r="D15" s="19"/>
      <c r="E15" s="16"/>
      <c r="F15" s="16"/>
      <c r="G15" s="20"/>
    </row>
    <row r="16" spans="4:7" x14ac:dyDescent="0.3">
      <c r="D16" s="19"/>
      <c r="E16" s="16"/>
      <c r="F16" s="16"/>
      <c r="G16" s="20"/>
    </row>
    <row r="17" spans="4:7" x14ac:dyDescent="0.3">
      <c r="D17" s="19"/>
      <c r="E17" s="16"/>
      <c r="F17" s="16"/>
      <c r="G17" s="20"/>
    </row>
    <row r="18" spans="4:7" x14ac:dyDescent="0.3">
      <c r="D18" s="19"/>
      <c r="E18" s="16"/>
      <c r="F18" s="16"/>
      <c r="G18" s="20"/>
    </row>
    <row r="19" spans="4:7" x14ac:dyDescent="0.3">
      <c r="D19" s="19"/>
      <c r="E19" s="16"/>
      <c r="F19" s="16"/>
      <c r="G19" s="20"/>
    </row>
    <row r="20" spans="4:7" x14ac:dyDescent="0.3">
      <c r="D20" s="19"/>
      <c r="E20" s="16"/>
      <c r="F20" s="16"/>
      <c r="G20" s="20"/>
    </row>
    <row r="21" spans="4:7" x14ac:dyDescent="0.3">
      <c r="D21" s="19"/>
      <c r="E21" s="16"/>
      <c r="F21" s="16"/>
      <c r="G21" s="20"/>
    </row>
    <row r="22" spans="4:7" x14ac:dyDescent="0.3">
      <c r="D22" s="21"/>
      <c r="E22" s="16"/>
      <c r="F22" s="16"/>
      <c r="G22" s="20"/>
    </row>
    <row r="23" spans="4:7" x14ac:dyDescent="0.3">
      <c r="D23" s="21"/>
      <c r="E23" s="16"/>
      <c r="F23" s="16"/>
      <c r="G23" s="20"/>
    </row>
    <row r="24" spans="4:7" x14ac:dyDescent="0.3">
      <c r="D24" s="21"/>
      <c r="E24" s="16"/>
      <c r="F24" s="16"/>
      <c r="G24" s="20"/>
    </row>
    <row r="25" spans="4:7" x14ac:dyDescent="0.3">
      <c r="D25" s="21"/>
      <c r="E25" s="16"/>
      <c r="F25" s="16"/>
      <c r="G25" s="20"/>
    </row>
    <row r="26" spans="4:7" x14ac:dyDescent="0.3">
      <c r="D26" s="21"/>
      <c r="E26" s="16"/>
      <c r="F26" s="16"/>
      <c r="G26" s="20"/>
    </row>
    <row r="27" spans="4:7" x14ac:dyDescent="0.3">
      <c r="D27" s="21"/>
      <c r="E27" s="16"/>
      <c r="F27" s="16"/>
      <c r="G27" s="20"/>
    </row>
    <row r="28" spans="4:7" x14ac:dyDescent="0.3">
      <c r="D28" s="21"/>
      <c r="E28" s="16"/>
      <c r="F28" s="16"/>
      <c r="G28" s="20"/>
    </row>
    <row r="29" spans="4:7" x14ac:dyDescent="0.3">
      <c r="D29" s="21"/>
      <c r="E29" s="16"/>
      <c r="F29" s="16"/>
      <c r="G29" s="20"/>
    </row>
    <row r="30" spans="4:7" x14ac:dyDescent="0.3">
      <c r="D30" s="21"/>
      <c r="E30" s="16"/>
      <c r="F30" s="16"/>
      <c r="G30" s="20"/>
    </row>
    <row r="31" spans="4:7" x14ac:dyDescent="0.3">
      <c r="D31" s="21"/>
      <c r="E31" s="16"/>
      <c r="F31" s="16"/>
      <c r="G31" s="20"/>
    </row>
    <row r="32" spans="4:7" x14ac:dyDescent="0.3">
      <c r="D32" s="21"/>
      <c r="E32" s="16"/>
      <c r="F32" s="16"/>
      <c r="G32" s="20"/>
    </row>
    <row r="33" spans="4:7" x14ac:dyDescent="0.3">
      <c r="D33" s="21"/>
      <c r="E33" s="16"/>
      <c r="F33" s="16"/>
      <c r="G33" s="20"/>
    </row>
    <row r="34" spans="4:7" x14ac:dyDescent="0.3">
      <c r="D34" s="21"/>
      <c r="E34" s="16"/>
      <c r="F34" s="16"/>
      <c r="G34" s="20"/>
    </row>
    <row r="35" spans="4:7" x14ac:dyDescent="0.3">
      <c r="D35" s="21"/>
      <c r="E35" s="16"/>
      <c r="F35" s="16"/>
      <c r="G35" s="20"/>
    </row>
    <row r="36" spans="4:7" x14ac:dyDescent="0.3">
      <c r="D36" s="21"/>
      <c r="E36" s="16"/>
      <c r="F36" s="16"/>
      <c r="G36" s="20"/>
    </row>
    <row r="37" spans="4:7" x14ac:dyDescent="0.3">
      <c r="D37" s="21"/>
      <c r="E37" s="16"/>
      <c r="F37" s="16"/>
      <c r="G37" s="20"/>
    </row>
    <row r="38" spans="4:7" x14ac:dyDescent="0.3">
      <c r="D38" s="21"/>
      <c r="E38" s="16"/>
      <c r="F38" s="16"/>
      <c r="G38" s="20"/>
    </row>
    <row r="39" spans="4:7" x14ac:dyDescent="0.3">
      <c r="D39" s="22"/>
      <c r="E39" s="16"/>
      <c r="F39" s="16"/>
      <c r="G39" s="20"/>
    </row>
    <row r="40" spans="4:7" x14ac:dyDescent="0.3">
      <c r="D40" s="14"/>
      <c r="E40" s="10"/>
      <c r="F40" s="10"/>
      <c r="G40" s="15"/>
    </row>
  </sheetData>
  <mergeCells count="6">
    <mergeCell ref="D6:E21"/>
    <mergeCell ref="F6:G21"/>
    <mergeCell ref="E22:F40"/>
    <mergeCell ref="D22:D38"/>
    <mergeCell ref="G22:G39"/>
    <mergeCell ref="D2:G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F0B5-F5C3-43BC-AC54-7EF95610D484}">
  <dimension ref="A1"/>
  <sheetViews>
    <sheetView showGridLines="0" tabSelected="1" workbookViewId="0">
      <selection activeCell="L31" sqref="L3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BA8D82-0420-4131-B4FC-1BC1A79D70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Ventes</vt:lpstr>
      <vt:lpstr>Clients</vt:lpstr>
      <vt:lpstr>Prroduits</vt:lpstr>
      <vt:lpstr>Analys par ventes</vt:lpstr>
      <vt:lpstr>Analyse par produits</vt:lpstr>
      <vt:lpstr>Analyse par mois</vt:lpstr>
      <vt:lpstr>Analyse</vt:lpstr>
      <vt:lpstr>DASHBOARD</vt:lpstr>
      <vt:lpstr>Interprétation des donnés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ASSANE GASSAMA</dc:creator>
  <cp:lastModifiedBy>ASSANE GASSAMA</cp:lastModifiedBy>
  <dcterms:created xsi:type="dcterms:W3CDTF">2026-09-03T00:33:50Z</dcterms:created>
  <dcterms:modified xsi:type="dcterms:W3CDTF">2026-09-03T17:56:32Z</dcterms:modified>
</cp:coreProperties>
</file>