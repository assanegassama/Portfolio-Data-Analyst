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C\Desktop\PORTFOLIO_DATA_ANALYST\Projet3 Analyse RH\Excel\"/>
    </mc:Choice>
  </mc:AlternateContent>
  <xr:revisionPtr revIDLastSave="0" documentId="13_ncr:1_{56E4DF81-2AA0-48F5-8DCC-ED0C2C96918F}" xr6:coauthVersionLast="47" xr6:coauthVersionMax="47" xr10:uidLastSave="{00000000-0000-0000-0000-000000000000}"/>
  <bookViews>
    <workbookView xWindow="-108" yWindow="-108" windowWidth="23256" windowHeight="13896" firstSheet="18" activeTab="21" xr2:uid="{07F975C5-81FE-4D6F-AF12-A6EC45CAFB4C}"/>
  </bookViews>
  <sheets>
    <sheet name="Employé" sheetId="1" r:id="rId1"/>
    <sheet name="Analyse_RH" sheetId="2" r:id="rId2"/>
    <sheet name="Effectif_Salaire_moyen_départem" sheetId="22" r:id="rId3"/>
    <sheet name="Masse_Salariale par Villes" sheetId="19" r:id="rId4"/>
    <sheet name="Tranche Salaire par_nbre_employ" sheetId="21" r:id="rId5"/>
    <sheet name="Salaire_Min_Max Départements" sheetId="20" r:id="rId6"/>
    <sheet name="Masse_Salariale_Departements" sheetId="13" r:id="rId7"/>
    <sheet name="Salaire_Departements" sheetId="5" r:id="rId8"/>
    <sheet name="Analyse_Genre" sheetId="7" r:id="rId9"/>
    <sheet name="Salaire Poste Moyen" sheetId="12" r:id="rId10"/>
    <sheet name="Effectif_Département et Genre" sheetId="17" r:id="rId11"/>
    <sheet name="Salaire Moyen par Ancienneté" sheetId="18" r:id="rId12"/>
    <sheet name="Salaire Moyen Departement" sheetId="10" r:id="rId13"/>
    <sheet name="Salaire_Moyenne par Vilees" sheetId="9" r:id="rId14"/>
    <sheet name="Analyse_Postes" sheetId="11" r:id="rId15"/>
    <sheet name="Analyse_Villes" sheetId="8" r:id="rId16"/>
    <sheet name="Employés_Tranche d'Ancienneté" sheetId="16" r:id="rId17"/>
    <sheet name="Recrutements_Annee" sheetId="6" r:id="rId18"/>
    <sheet name="Salaire moyen par genre" sheetId="15" r:id="rId19"/>
    <sheet name="Ancienneté Moyen par Départemen" sheetId="14" r:id="rId20"/>
    <sheet name="Analyse_Departements" sheetId="4" r:id="rId21"/>
    <sheet name="KPI_RH" sheetId="3" r:id="rId22"/>
  </sheets>
  <definedNames>
    <definedName name="DonnéesExternes_1" localSheetId="1" hidden="1">Analyse_RH!$A$1:$K$31</definedName>
    <definedName name="RH_Employes">RH_Employes_1[]</definedName>
  </definedNames>
  <calcPr calcId="181029"/>
  <pivotCaches>
    <pivotCache cacheId="87" r:id="rId2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3" l="1"/>
  <c r="D4" i="3"/>
  <c r="C4" i="3"/>
  <c r="B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738B1E-3629-45C3-8CDF-520797ED32F3}" keepAlive="1" name="Requête - RH_Employes" description="Connexion à la requête « RH_Employes » dans le classeur." type="5" refreshedVersion="7" background="1" saveData="1">
    <dbPr connection="Provider=Microsoft.Mashup.OleDb.1;Data Source=$Workbook$;Location=RH_Employes;Extended Properties=&quot;&quot;" command="SELECT * FROM [RH_Employes]"/>
  </connection>
</connections>
</file>

<file path=xl/sharedStrings.xml><?xml version="1.0" encoding="utf-8"?>
<sst xmlns="http://schemas.openxmlformats.org/spreadsheetml/2006/main" count="628" uniqueCount="173">
  <si>
    <t>ID_Employé</t>
  </si>
  <si>
    <t>Nom</t>
  </si>
  <si>
    <t>Prénom</t>
  </si>
  <si>
    <t>Genre</t>
  </si>
  <si>
    <t>Département</t>
  </si>
  <si>
    <t>Poste</t>
  </si>
  <si>
    <t>Date d'embauche</t>
  </si>
  <si>
    <t>Salaire</t>
  </si>
  <si>
    <t>EMP001</t>
  </si>
  <si>
    <t>Diop</t>
  </si>
  <si>
    <t>Moussa</t>
  </si>
  <si>
    <t>Homme</t>
  </si>
  <si>
    <t>Informatique</t>
  </si>
  <si>
    <t>Développeur</t>
  </si>
  <si>
    <t>Dakar</t>
  </si>
  <si>
    <t>EMP002</t>
  </si>
  <si>
    <t>Ndiaye</t>
  </si>
  <si>
    <t>Fatou</t>
  </si>
  <si>
    <t>Femme</t>
  </si>
  <si>
    <t>Finance</t>
  </si>
  <si>
    <t>Comptable</t>
  </si>
  <si>
    <t>EMP003</t>
  </si>
  <si>
    <t>Fall</t>
  </si>
  <si>
    <t>Ibrahima</t>
  </si>
  <si>
    <t>Commercial</t>
  </si>
  <si>
    <t>Thiès</t>
  </si>
  <si>
    <t>EMP004</t>
  </si>
  <si>
    <t>Diouf</t>
  </si>
  <si>
    <t>Awa</t>
  </si>
  <si>
    <t>Ressources Humaines</t>
  </si>
  <si>
    <t>Assistante RH</t>
  </si>
  <si>
    <t>EMP005</t>
  </si>
  <si>
    <t>Sow</t>
  </si>
  <si>
    <t>Amadou</t>
  </si>
  <si>
    <t>Technicien</t>
  </si>
  <si>
    <t>EMP006</t>
  </si>
  <si>
    <t>Ba</t>
  </si>
  <si>
    <t>Mariama</t>
  </si>
  <si>
    <t>Marketing</t>
  </si>
  <si>
    <t>Chargée Marketing</t>
  </si>
  <si>
    <t>EMP007</t>
  </si>
  <si>
    <t>Gueye</t>
  </si>
  <si>
    <t>Cheikh</t>
  </si>
  <si>
    <t>Analyste financier</t>
  </si>
  <si>
    <t>EMP008</t>
  </si>
  <si>
    <t>Seck</t>
  </si>
  <si>
    <t>Khadija</t>
  </si>
  <si>
    <t>Commerciale</t>
  </si>
  <si>
    <t>EMP009</t>
  </si>
  <si>
    <t>Faye</t>
  </si>
  <si>
    <t>Abdou</t>
  </si>
  <si>
    <t>Logistique</t>
  </si>
  <si>
    <t>Responsable Logistique</t>
  </si>
  <si>
    <t>EMP010</t>
  </si>
  <si>
    <t>Thiam</t>
  </si>
  <si>
    <t>Ndeye</t>
  </si>
  <si>
    <t>Data Analyst</t>
  </si>
  <si>
    <t>EMP011</t>
  </si>
  <si>
    <t>Cissé</t>
  </si>
  <si>
    <t>Oumar</t>
  </si>
  <si>
    <t>Production</t>
  </si>
  <si>
    <t>Superviseur</t>
  </si>
  <si>
    <t>Rufisque</t>
  </si>
  <si>
    <t>EMP012</t>
  </si>
  <si>
    <t>Ka</t>
  </si>
  <si>
    <t>Aminata</t>
  </si>
  <si>
    <t>Assistante Comptable</t>
  </si>
  <si>
    <t>EMP013</t>
  </si>
  <si>
    <t>Diallo</t>
  </si>
  <si>
    <t>Mamadou</t>
  </si>
  <si>
    <t>EMP014</t>
  </si>
  <si>
    <t>Sarr</t>
  </si>
  <si>
    <t>Coumba</t>
  </si>
  <si>
    <t>Community Manager</t>
  </si>
  <si>
    <t>EMP015</t>
  </si>
  <si>
    <t>Lo</t>
  </si>
  <si>
    <t>Abdoulaye</t>
  </si>
  <si>
    <t>EMP016</t>
  </si>
  <si>
    <t>Ndour</t>
  </si>
  <si>
    <t>Rama</t>
  </si>
  <si>
    <t>Responsable RH</t>
  </si>
  <si>
    <t>EMP017</t>
  </si>
  <si>
    <t>Gningue</t>
  </si>
  <si>
    <t>Pape</t>
  </si>
  <si>
    <t>Magasinier</t>
  </si>
  <si>
    <t>EMP018</t>
  </si>
  <si>
    <t>Diagne</t>
  </si>
  <si>
    <t>Opératrice</t>
  </si>
  <si>
    <t>EMP019</t>
  </si>
  <si>
    <t>Touré</t>
  </si>
  <si>
    <t>Contrôleur de gestion</t>
  </si>
  <si>
    <t>EMP020</t>
  </si>
  <si>
    <t xml:space="preserve"> sy</t>
  </si>
  <si>
    <t>Anta</t>
  </si>
  <si>
    <t>Technicienne</t>
  </si>
  <si>
    <t>EMP021</t>
  </si>
  <si>
    <t>Konaté</t>
  </si>
  <si>
    <t>Modou</t>
  </si>
  <si>
    <t>Responsable Marketing</t>
  </si>
  <si>
    <t>EMP022</t>
  </si>
  <si>
    <t>Camara</t>
  </si>
  <si>
    <t>Hawa</t>
  </si>
  <si>
    <t>EMP023</t>
  </si>
  <si>
    <t>Barry</t>
  </si>
  <si>
    <t>Alioune</t>
  </si>
  <si>
    <t>Opérateur</t>
  </si>
  <si>
    <t>EMP024</t>
  </si>
  <si>
    <t>Niang</t>
  </si>
  <si>
    <t>Mame</t>
  </si>
  <si>
    <t>Assistante Logistique</t>
  </si>
  <si>
    <t>EMP025</t>
  </si>
  <si>
    <t xml:space="preserve"> Kane</t>
  </si>
  <si>
    <t>Administrateur Réseau</t>
  </si>
  <si>
    <t>EMP026</t>
  </si>
  <si>
    <t xml:space="preserve"> Mbaye</t>
  </si>
  <si>
    <t>Dieynaba</t>
  </si>
  <si>
    <t>EMP027</t>
  </si>
  <si>
    <t xml:space="preserve"> Wade</t>
  </si>
  <si>
    <t>Mouhamed</t>
  </si>
  <si>
    <t>Responsable Commercial</t>
  </si>
  <si>
    <t>EMP028</t>
  </si>
  <si>
    <t xml:space="preserve"> Samb</t>
  </si>
  <si>
    <t>Sokhna</t>
  </si>
  <si>
    <t>EMP029</t>
  </si>
  <si>
    <t xml:space="preserve"> Tall</t>
  </si>
  <si>
    <t>Chauffeur</t>
  </si>
  <si>
    <t>EMP030</t>
  </si>
  <si>
    <t xml:space="preserve"> Dieng</t>
  </si>
  <si>
    <t>Nafi</t>
  </si>
  <si>
    <t>Superviseure</t>
  </si>
  <si>
    <t>Ville</t>
  </si>
  <si>
    <t>Année_Embauche</t>
  </si>
  <si>
    <t>Ancienneté</t>
  </si>
  <si>
    <t>sy</t>
  </si>
  <si>
    <t>Kane</t>
  </si>
  <si>
    <t>Mbaye</t>
  </si>
  <si>
    <t>Wade</t>
  </si>
  <si>
    <t>Samb</t>
  </si>
  <si>
    <t>Tall</t>
  </si>
  <si>
    <t>Dieng</t>
  </si>
  <si>
    <t>Masse salariale totale</t>
  </si>
  <si>
    <t>Ancienneté moyenne</t>
  </si>
  <si>
    <t>Nombre de ID_Employé</t>
  </si>
  <si>
    <t>Étiquettes de lignes</t>
  </si>
  <si>
    <t>Total général</t>
  </si>
  <si>
    <t>Salaire moyenne</t>
  </si>
  <si>
    <t>Nombre d'Employé</t>
  </si>
  <si>
    <t>Année d'embauche</t>
  </si>
  <si>
    <t>Nombre de Recrutement</t>
  </si>
  <si>
    <t>Nombre Employées</t>
  </si>
  <si>
    <t>Nombre d'Employés</t>
  </si>
  <si>
    <t>Villes</t>
  </si>
  <si>
    <t>Salaire Moyen</t>
  </si>
  <si>
    <t>Départements</t>
  </si>
  <si>
    <t>Masse salariale</t>
  </si>
  <si>
    <t>Ancienneté Moyenne</t>
  </si>
  <si>
    <t xml:space="preserve"> Salaire Moyenne</t>
  </si>
  <si>
    <t>Genres</t>
  </si>
  <si>
    <t>2-3</t>
  </si>
  <si>
    <t>4-5</t>
  </si>
  <si>
    <t>6-7</t>
  </si>
  <si>
    <t>Étiquettes de colonnes</t>
  </si>
  <si>
    <t>Salaire Moyenne</t>
  </si>
  <si>
    <t>Tranche d'Ancienneté</t>
  </si>
  <si>
    <t>Masse Salariale</t>
  </si>
  <si>
    <t>Min. de Salaire</t>
  </si>
  <si>
    <t>Max. de Salaire</t>
  </si>
  <si>
    <t>280000-379999</t>
  </si>
  <si>
    <t>380000-479999</t>
  </si>
  <si>
    <t>480000-579999</t>
  </si>
  <si>
    <t>Tranche de Salaire</t>
  </si>
  <si>
    <t>salaire moyenne.</t>
  </si>
  <si>
    <t>Nombre total d'employés.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</si>
</sst>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1" formatCode="_-* #,##0\ [$F CFA-280C]_-;\-* #,##0\ [$F CFA-280C]_-;_-* &quot;-&quot;??\ [$F CFA-280C]_-;_-@_-"/>
    <numFmt numFmtId="176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NumberFormat="1"/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1" applyNumberFormat="1" applyFont="1" applyAlignment="1">
      <alignment horizontal="center"/>
    </xf>
    <xf numFmtId="0" fontId="0" fillId="0" borderId="0" xfId="0" pivotButton="1"/>
    <xf numFmtId="43" fontId="0" fillId="0" borderId="0" xfId="0" applyNumberFormat="1"/>
    <xf numFmtId="176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2">
    <cellStyle name="Milliers" xfId="1" builtinId="3"/>
    <cellStyle name="Normal" xfId="0" builtinId="0"/>
  </cellStyles>
  <dxfs count="34">
    <dxf>
      <numFmt numFmtId="35" formatCode="_-* #,##0.00_-;\-* #,##0.0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35" formatCode="_-* #,##0.00_-;\-* #,##0.0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35" formatCode="_-* #,##0.00_-;\-* #,##0.00_-;_-* &quot;-&quot;??_-;_-@_-"/>
    </dxf>
    <dxf>
      <numFmt numFmtId="176" formatCode="_-* #,##0_-;\-* #,##0_-;_-* &quot;-&quot;??_-;_-@_-"/>
    </dxf>
    <dxf>
      <numFmt numFmtId="176" formatCode="_-* #,##0_-;\-* #,##0_-;_-* &quot;-&quot;??_-;_-@_-"/>
    </dxf>
    <dxf>
      <numFmt numFmtId="175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-* #,##0.00_-;\-* #,##0.00_-;_-* &quot;-&quot;??_-;_-@_-"/>
    </dxf>
    <dxf>
      <numFmt numFmtId="176" formatCode="_-* #,##0_-;\-* #,##0_-;_-* &quot;-&quot;??_-;_-@_-"/>
    </dxf>
    <dxf>
      <numFmt numFmtId="175" formatCode="_-* #,##0.0_-;\-* #,##0.0_-;_-* &quot;-&quot;??_-;_-@_-"/>
    </dxf>
    <dxf>
      <numFmt numFmtId="35" formatCode="_-* #,##0.00_-;\-* #,##0.00_-;_-* &quot;-&quot;??_-;_-@_-"/>
    </dxf>
    <dxf>
      <numFmt numFmtId="174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[Analyse_RH.xlsx]Masse_Salariale_Departements!Tableau croisé dynamique10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Diagramme</a:t>
            </a:r>
            <a:r>
              <a:rPr lang="en-US" baseline="0"/>
              <a:t> en barre Département en fonction des Masses salariales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492139278538083"/>
          <c:y val="0.19449348465741909"/>
          <c:w val="0.59259261369463401"/>
          <c:h val="0.618859575087792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Masse_Salariale_Departements!$B$3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Masse_Salariale_Departements!$A$4:$A$11</c:f>
              <c:strCache>
                <c:ptCount val="7"/>
                <c:pt idx="0">
                  <c:v>Commercial</c:v>
                </c:pt>
                <c:pt idx="1">
                  <c:v>Finance</c:v>
                </c:pt>
                <c:pt idx="2">
                  <c:v>Informatique</c:v>
                </c:pt>
                <c:pt idx="3">
                  <c:v>Logistique</c:v>
                </c:pt>
                <c:pt idx="4">
                  <c:v>Marketing</c:v>
                </c:pt>
                <c:pt idx="5">
                  <c:v>Production</c:v>
                </c:pt>
                <c:pt idx="6">
                  <c:v>Ressources Humaines</c:v>
                </c:pt>
              </c:strCache>
            </c:strRef>
          </c:cat>
          <c:val>
            <c:numRef>
              <c:f>Masse_Salariale_Departements!$B$4:$B$11</c:f>
              <c:numCache>
                <c:formatCode>General</c:formatCode>
                <c:ptCount val="7"/>
                <c:pt idx="0">
                  <c:v>1925000</c:v>
                </c:pt>
                <c:pt idx="1">
                  <c:v>2140000</c:v>
                </c:pt>
                <c:pt idx="2">
                  <c:v>2615000</c:v>
                </c:pt>
                <c:pt idx="3">
                  <c:v>1390000</c:v>
                </c:pt>
                <c:pt idx="4">
                  <c:v>1270000</c:v>
                </c:pt>
                <c:pt idx="5">
                  <c:v>1475000</c:v>
                </c:pt>
                <c:pt idx="6">
                  <c:v>1235000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5-4869-B841-D9EEAA5B3C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05254856"/>
        <c:axId val="605255184"/>
      </c:barChart>
      <c:catAx>
        <c:axId val="605254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Département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5255184"/>
        <c:crosses val="autoZero"/>
        <c:auto val="1"/>
        <c:lblAlgn val="ctr"/>
        <c:lblOffset val="100"/>
        <c:noMultiLvlLbl val="0"/>
      </c:catAx>
      <c:valAx>
        <c:axId val="60525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Salaire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525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[Analyse_RH.xlsx]Recrutements_Annee!Tableau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Courbe</a:t>
            </a:r>
            <a:r>
              <a:rPr lang="en-US" baseline="0"/>
              <a:t> d'évolution Nombre de recrutements par Année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Recrutements_Annee!$B$3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Recrutements_Annee!$A$4:$A$10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Recrutements_Annee!$B$4:$B$10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0-4ADE-8904-514520EA93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2320928"/>
        <c:axId val="1002319944"/>
      </c:lineChart>
      <c:catAx>
        <c:axId val="1002320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Année</a:t>
                </a:r>
                <a:r>
                  <a:rPr lang="fr-SN" baseline="0"/>
                  <a:t> d'Embauche</a:t>
                </a:r>
                <a:endParaRPr lang="fr-S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2319944"/>
        <c:crosses val="autoZero"/>
        <c:auto val="1"/>
        <c:lblAlgn val="ctr"/>
        <c:lblOffset val="100"/>
        <c:noMultiLvlLbl val="0"/>
      </c:catAx>
      <c:valAx>
        <c:axId val="100231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Nbre</a:t>
                </a:r>
                <a:r>
                  <a:rPr lang="fr-SN" baseline="0"/>
                  <a:t> de Recrutement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232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1</xdr:row>
      <xdr:rowOff>179070</xdr:rowOff>
    </xdr:from>
    <xdr:to>
      <xdr:col>9</xdr:col>
      <xdr:colOff>182880</xdr:colOff>
      <xdr:row>18</xdr:row>
      <xdr:rowOff>91440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B0B0206-09D1-4C29-BA6B-927E8ECB3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</xdr:row>
      <xdr:rowOff>140970</xdr:rowOff>
    </xdr:from>
    <xdr:to>
      <xdr:col>9</xdr:col>
      <xdr:colOff>708660</xdr:colOff>
      <xdr:row>19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E1181CC-BA28-42EA-A743-5C057F0C9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1356360</xdr:colOff>
      <xdr:row>0</xdr:row>
      <xdr:rowOff>60960</xdr:rowOff>
    </xdr:from>
    <xdr:to>
      <xdr:col>3</xdr:col>
      <xdr:colOff>1097280</xdr:colOff>
      <xdr:row>2</xdr:row>
      <xdr:rowOff>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E319A61-E722-4D76-83F7-DA2C7CF3EF6C}"/>
            </a:ext>
          </a:extLst>
        </xdr:cNvPr>
        <xdr:cNvSpPr txBox="1"/>
      </xdr:nvSpPr>
      <xdr:spPr>
        <a:xfrm>
          <a:off x="3070860" y="60960"/>
          <a:ext cx="2514600" cy="3048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SN" sz="1600"/>
            <a:t>KPI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BC" refreshedDate="46275.955215856484" createdVersion="7" refreshedVersion="7" minRefreshableVersion="3" recordCount="30" xr:uid="{505779CF-409F-49B8-A680-494EA3962D0E}">
  <cacheSource type="worksheet">
    <worksheetSource name="RH_Employes_1"/>
  </cacheSource>
  <cacheFields count="11">
    <cacheField name="ID_Employé" numFmtId="0">
      <sharedItems count="30">
        <s v="EMP001"/>
        <s v="EMP002"/>
        <s v="EMP003"/>
        <s v="EMP004"/>
        <s v="EMP005"/>
        <s v="EMP006"/>
        <s v="EMP007"/>
        <s v="EMP008"/>
        <s v="EMP009"/>
        <s v="EMP010"/>
        <s v="EMP011"/>
        <s v="EMP012"/>
        <s v="EMP013"/>
        <s v="EMP014"/>
        <s v="EMP015"/>
        <s v="EMP016"/>
        <s v="EMP017"/>
        <s v="EMP018"/>
        <s v="EMP019"/>
        <s v="EMP020"/>
        <s v="EMP021"/>
        <s v="EMP022"/>
        <s v="EMP023"/>
        <s v="EMP024"/>
        <s v="EMP025"/>
        <s v="EMP026"/>
        <s v="EMP027"/>
        <s v="EMP028"/>
        <s v="EMP029"/>
        <s v="EMP030"/>
      </sharedItems>
    </cacheField>
    <cacheField name="Nom" numFmtId="0">
      <sharedItems/>
    </cacheField>
    <cacheField name="Prénom" numFmtId="0">
      <sharedItems/>
    </cacheField>
    <cacheField name="Genre" numFmtId="0">
      <sharedItems count="2">
        <s v="Homme"/>
        <s v="Femme"/>
      </sharedItems>
    </cacheField>
    <cacheField name="Département" numFmtId="0">
      <sharedItems count="8">
        <s v="Informatique"/>
        <s v="Finance"/>
        <s v="Commercial"/>
        <s v="Ressources Humaines"/>
        <s v="Marketing"/>
        <s v="Logistique"/>
        <s v="Production"/>
        <s v="Commerciale" u="1"/>
      </sharedItems>
    </cacheField>
    <cacheField name="Poste" numFmtId="0">
      <sharedItems count="25">
        <s v="Développeur"/>
        <s v="Comptable"/>
        <s v="Commercial"/>
        <s v="Assistante RH"/>
        <s v="Technicien"/>
        <s v="Chargée Marketing"/>
        <s v="Analyste financier"/>
        <s v="Responsable Logistique"/>
        <s v="Data Analyst"/>
        <s v="Superviseur"/>
        <s v="Assistante Comptable"/>
        <s v="Community Manager"/>
        <s v="Responsable RH"/>
        <s v="Magasinier"/>
        <s v="Opérateur"/>
        <s v="Contrôleur de gestion"/>
        <s v="Responsable Marketing"/>
        <s v="Assistante Logistique"/>
        <s v="Administrateur Réseau"/>
        <s v="Responsable Commercial"/>
        <s v="Chauffeur"/>
        <s v="Commerciale" u="1"/>
        <s v="Superviseure" u="1"/>
        <s v="Opératrice" u="1"/>
        <s v="Technicienne" u="1"/>
      </sharedItems>
    </cacheField>
    <cacheField name="Date d'embauche" numFmtId="14">
      <sharedItems containsSemiMixedTypes="0" containsNonDate="0" containsDate="1" containsString="0" minDate="2019-04-23T00:00:00" maxDate="2024-06-15T00:00:00"/>
    </cacheField>
    <cacheField name="Année_Embauche" numFmtId="0">
      <sharedItems containsSemiMixedTypes="0" containsString="0" containsNumber="1" containsInteger="1" minValue="2019" maxValue="2024" count="6">
        <n v="2022"/>
        <n v="2021"/>
        <n v="2023"/>
        <n v="2020"/>
        <n v="2024"/>
        <n v="2019"/>
      </sharedItems>
    </cacheField>
    <cacheField name="Ancienneté" numFmtId="0">
      <sharedItems containsSemiMixedTypes="0" containsString="0" containsNumber="1" containsInteger="1" minValue="2" maxValue="7" count="6">
        <n v="4"/>
        <n v="5"/>
        <n v="3"/>
        <n v="6"/>
        <n v="2"/>
        <n v="7"/>
      </sharedItems>
      <fieldGroup base="8">
        <rangePr autoStart="0" autoEnd="0" startNum="0" endNum="10" groupInterval="2"/>
        <groupItems count="7">
          <s v="&lt;0"/>
          <s v="0-1"/>
          <s v="2-3"/>
          <s v="4-5"/>
          <s v="6-7"/>
          <s v="8-10"/>
          <s v="&gt;10"/>
        </groupItems>
      </fieldGroup>
    </cacheField>
    <cacheField name="Salaire" numFmtId="0">
      <sharedItems containsSemiMixedTypes="0" containsString="0" containsNumber="1" containsInteger="1" minValue="280000" maxValue="575000" count="30">
        <n v="450000"/>
        <n v="400000"/>
        <n v="350000"/>
        <n v="380000"/>
        <n v="375000"/>
        <n v="420000"/>
        <n v="500000"/>
        <n v="325000"/>
        <n v="480000"/>
        <n v="475000"/>
        <n v="430000"/>
        <n v="320000"/>
        <n v="460000"/>
        <n v="340000"/>
        <n v="360000"/>
        <n v="550000"/>
        <n v="300000"/>
        <n v="290000"/>
        <n v="525000"/>
        <n v="365000"/>
        <n v="510000"/>
        <n v="315000"/>
        <n v="310000"/>
        <n v="330000"/>
        <n v="490000"/>
        <n v="395000"/>
        <n v="575000"/>
        <n v="305000"/>
        <n v="280000"/>
        <n v="445000"/>
      </sharedItems>
      <fieldGroup base="9">
        <rangePr startNum="280000" endNum="575000" groupInterval="100000"/>
        <groupItems count="5">
          <s v="&lt;280000"/>
          <s v="280000-379999"/>
          <s v="380000-479999"/>
          <s v="480000-579999"/>
          <s v="&gt;580000"/>
        </groupItems>
      </fieldGroup>
    </cacheField>
    <cacheField name="Ville" numFmtId="0">
      <sharedItems count="3">
        <s v="Dakar"/>
        <s v="Thiès"/>
        <s v="Rufisq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Diop"/>
    <s v="Moussa"/>
    <x v="0"/>
    <x v="0"/>
    <x v="0"/>
    <d v="2022-01-15T00:00:00"/>
    <x v="0"/>
    <x v="0"/>
    <x v="0"/>
    <x v="0"/>
  </r>
  <r>
    <x v="1"/>
    <s v="Ndiaye"/>
    <s v="Fatou"/>
    <x v="1"/>
    <x v="1"/>
    <x v="1"/>
    <d v="2021-03-10T00:00:00"/>
    <x v="1"/>
    <x v="1"/>
    <x v="1"/>
    <x v="0"/>
  </r>
  <r>
    <x v="2"/>
    <s v="Fall"/>
    <s v="Ibrahima"/>
    <x v="0"/>
    <x v="2"/>
    <x v="2"/>
    <d v="2023-06-20T00:00:00"/>
    <x v="2"/>
    <x v="2"/>
    <x v="2"/>
    <x v="1"/>
  </r>
  <r>
    <x v="3"/>
    <s v="Diouf"/>
    <s v="Awa"/>
    <x v="1"/>
    <x v="3"/>
    <x v="3"/>
    <d v="2020-09-05T00:00:00"/>
    <x v="3"/>
    <x v="3"/>
    <x v="3"/>
    <x v="0"/>
  </r>
  <r>
    <x v="4"/>
    <s v="Sow"/>
    <s v="Amadou"/>
    <x v="0"/>
    <x v="0"/>
    <x v="4"/>
    <d v="2022-11-12T00:00:00"/>
    <x v="0"/>
    <x v="2"/>
    <x v="4"/>
    <x v="0"/>
  </r>
  <r>
    <x v="5"/>
    <s v="Ba"/>
    <s v="Mariama"/>
    <x v="1"/>
    <x v="4"/>
    <x v="5"/>
    <d v="2023-02-18T00:00:00"/>
    <x v="2"/>
    <x v="2"/>
    <x v="5"/>
    <x v="0"/>
  </r>
  <r>
    <x v="6"/>
    <s v="Gueye"/>
    <s v="Cheikh"/>
    <x v="0"/>
    <x v="1"/>
    <x v="6"/>
    <d v="2021-07-22T00:00:00"/>
    <x v="1"/>
    <x v="1"/>
    <x v="6"/>
    <x v="0"/>
  </r>
  <r>
    <x v="7"/>
    <s v="Seck"/>
    <s v="Khadija"/>
    <x v="1"/>
    <x v="2"/>
    <x v="2"/>
    <d v="2024-01-08T00:00:00"/>
    <x v="4"/>
    <x v="4"/>
    <x v="7"/>
    <x v="1"/>
  </r>
  <r>
    <x v="8"/>
    <s v="Faye"/>
    <s v="Abdou"/>
    <x v="0"/>
    <x v="5"/>
    <x v="7"/>
    <d v="2020-05-14T00:00:00"/>
    <x v="3"/>
    <x v="3"/>
    <x v="8"/>
    <x v="0"/>
  </r>
  <r>
    <x v="9"/>
    <s v="Thiam"/>
    <s v="Ndeye"/>
    <x v="1"/>
    <x v="0"/>
    <x v="8"/>
    <d v="2024-03-25T00:00:00"/>
    <x v="4"/>
    <x v="4"/>
    <x v="9"/>
    <x v="0"/>
  </r>
  <r>
    <x v="10"/>
    <s v="Cissé"/>
    <s v="Oumar"/>
    <x v="0"/>
    <x v="6"/>
    <x v="9"/>
    <d v="2021-10-11T00:00:00"/>
    <x v="1"/>
    <x v="0"/>
    <x v="10"/>
    <x v="2"/>
  </r>
  <r>
    <x v="11"/>
    <s v="Ka"/>
    <s v="Aminata"/>
    <x v="1"/>
    <x v="1"/>
    <x v="10"/>
    <d v="2023-08-07T00:00:00"/>
    <x v="2"/>
    <x v="2"/>
    <x v="11"/>
    <x v="0"/>
  </r>
  <r>
    <x v="12"/>
    <s v="Diallo"/>
    <s v="Mamadou"/>
    <x v="0"/>
    <x v="0"/>
    <x v="0"/>
    <d v="2022-04-19T00:00:00"/>
    <x v="0"/>
    <x v="0"/>
    <x v="12"/>
    <x v="0"/>
  </r>
  <r>
    <x v="13"/>
    <s v="Sarr"/>
    <s v="Coumba"/>
    <x v="1"/>
    <x v="4"/>
    <x v="11"/>
    <d v="2024-02-12T00:00:00"/>
    <x v="4"/>
    <x v="4"/>
    <x v="13"/>
    <x v="1"/>
  </r>
  <r>
    <x v="14"/>
    <s v="Lo"/>
    <s v="Abdoulaye"/>
    <x v="0"/>
    <x v="2"/>
    <x v="2"/>
    <d v="2023-05-03T00:00:00"/>
    <x v="2"/>
    <x v="2"/>
    <x v="14"/>
    <x v="0"/>
  </r>
  <r>
    <x v="15"/>
    <s v="Ndour"/>
    <s v="Rama"/>
    <x v="1"/>
    <x v="3"/>
    <x v="12"/>
    <d v="2019-11-20T00:00:00"/>
    <x v="5"/>
    <x v="3"/>
    <x v="15"/>
    <x v="0"/>
  </r>
  <r>
    <x v="16"/>
    <s v="Gningue"/>
    <s v="Pape"/>
    <x v="0"/>
    <x v="5"/>
    <x v="13"/>
    <d v="2022-08-16T00:00:00"/>
    <x v="0"/>
    <x v="0"/>
    <x v="16"/>
    <x v="2"/>
  </r>
  <r>
    <x v="17"/>
    <s v="Diagne"/>
    <s v="Fatou"/>
    <x v="1"/>
    <x v="6"/>
    <x v="14"/>
    <d v="2024-04-10T00:00:00"/>
    <x v="4"/>
    <x v="4"/>
    <x v="17"/>
    <x v="1"/>
  </r>
  <r>
    <x v="18"/>
    <s v="Touré"/>
    <s v="Ibrahima"/>
    <x v="0"/>
    <x v="1"/>
    <x v="15"/>
    <d v="2020-02-28T00:00:00"/>
    <x v="3"/>
    <x v="3"/>
    <x v="18"/>
    <x v="0"/>
  </r>
  <r>
    <x v="19"/>
    <s v="sy"/>
    <s v="Anta"/>
    <x v="1"/>
    <x v="0"/>
    <x v="4"/>
    <d v="2023-09-15T00:00:00"/>
    <x v="2"/>
    <x v="4"/>
    <x v="19"/>
    <x v="0"/>
  </r>
  <r>
    <x v="20"/>
    <s v="Konaté"/>
    <s v="Modou"/>
    <x v="0"/>
    <x v="4"/>
    <x v="16"/>
    <d v="2021-01-18T00:00:00"/>
    <x v="1"/>
    <x v="1"/>
    <x v="20"/>
    <x v="0"/>
  </r>
  <r>
    <x v="21"/>
    <s v="Camara"/>
    <s v="Hawa"/>
    <x v="1"/>
    <x v="2"/>
    <x v="2"/>
    <d v="2024-05-06T00:00:00"/>
    <x v="4"/>
    <x v="4"/>
    <x v="21"/>
    <x v="2"/>
  </r>
  <r>
    <x v="22"/>
    <s v="Barry"/>
    <s v="Alioune"/>
    <x v="0"/>
    <x v="6"/>
    <x v="14"/>
    <d v="2022-06-13T00:00:00"/>
    <x v="0"/>
    <x v="0"/>
    <x v="22"/>
    <x v="1"/>
  </r>
  <r>
    <x v="23"/>
    <s v="Niang"/>
    <s v="Mame"/>
    <x v="1"/>
    <x v="5"/>
    <x v="17"/>
    <d v="2023-11-09T00:00:00"/>
    <x v="2"/>
    <x v="4"/>
    <x v="23"/>
    <x v="0"/>
  </r>
  <r>
    <x v="24"/>
    <s v="Kane"/>
    <s v="Cheikh"/>
    <x v="0"/>
    <x v="0"/>
    <x v="18"/>
    <d v="2020-07-17T00:00:00"/>
    <x v="3"/>
    <x v="3"/>
    <x v="24"/>
    <x v="0"/>
  </r>
  <r>
    <x v="25"/>
    <s v="Mbaye"/>
    <s v="Dieynaba"/>
    <x v="1"/>
    <x v="1"/>
    <x v="1"/>
    <d v="2022-12-05T00:00:00"/>
    <x v="0"/>
    <x v="2"/>
    <x v="25"/>
    <x v="0"/>
  </r>
  <r>
    <x v="26"/>
    <s v="Wade"/>
    <s v="Mouhamed"/>
    <x v="0"/>
    <x v="2"/>
    <x v="19"/>
    <d v="2019-04-23T00:00:00"/>
    <x v="5"/>
    <x v="5"/>
    <x v="26"/>
    <x v="0"/>
  </r>
  <r>
    <x v="27"/>
    <s v="Samb"/>
    <s v="Sokhna"/>
    <x v="1"/>
    <x v="3"/>
    <x v="3"/>
    <d v="2024-06-14T00:00:00"/>
    <x v="4"/>
    <x v="4"/>
    <x v="27"/>
    <x v="1"/>
  </r>
  <r>
    <x v="28"/>
    <s v="Tall"/>
    <s v="Abdou"/>
    <x v="0"/>
    <x v="5"/>
    <x v="20"/>
    <d v="2021-09-30T00:00:00"/>
    <x v="1"/>
    <x v="0"/>
    <x v="28"/>
    <x v="2"/>
  </r>
  <r>
    <x v="29"/>
    <s v="Dieng"/>
    <s v="Nafi"/>
    <x v="1"/>
    <x v="6"/>
    <x v="9"/>
    <d v="2020-12-02T00:00:00"/>
    <x v="3"/>
    <x v="1"/>
    <x v="2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9A90D-7E92-4B03-B7D0-A025B255C5E0}" name="Tableau croisé dynamique19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Départements">
  <location ref="A3:C11" firstHeaderRow="0" firstDataRow="1" firstDataCol="1"/>
  <pivotFields count="11">
    <pivotField dataField="1" multipleItemSelectionAllowe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showAll="0"/>
    <pivotField dataField="1" showAll="0"/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'Employés" fld="0" subtotal="count" baseField="4" baseItem="0"/>
    <dataField name=" Salaire Moyenne" fld="9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861FB-7527-404B-A271-3EC5CE273CC5}" name="Tableau croisé dynamique16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Villes">
  <location ref="A3:B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asse Salariale" fld="9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11F21-12DA-43D3-ABB5-BBAF48F632A9}" name="Tableau croisé dynamique18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Tranche de Salaire">
  <location ref="A3:B7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Nombre d'Employés" fld="0" subtotal="count" baseField="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0BB0A-F625-4CF8-9D6E-D21C4A0E4368}" name="Tableau croisé dynamique17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Départements">
  <location ref="A3:C11" firstHeaderRow="0" firstDataRow="1" firstDataCol="1"/>
  <pivotFields count="11">
    <pivotField showAll="0"/>
    <pivotField showAll="0"/>
    <pivotField showAll="0"/>
    <pivotField showAll="0"/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showAll="0"/>
    <pivotField dataFiel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Min. de Salaire" fld="9" subtotal="min" baseField="4" baseItem="0"/>
    <dataField name="Max. de Salaire" fld="9" subtotal="max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945CA-CEF3-42BF-A08B-05D7B004C159}" name="Tableau croisé dynamique10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 rowHeaderCaption="Départements">
  <location ref="A3:B11" firstHeaderRow="1" firstDataRow="1" firstDataCol="1"/>
  <pivotFields count="11">
    <pivotField showAll="0"/>
    <pivotField showAll="0"/>
    <pivotField showAll="0"/>
    <pivotField showAll="0"/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Masse salariale" fld="9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133C8-7C89-4F7A-A2E8-8D673B64C687}" name="Tableau croisé dynamique2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Département">
  <location ref="A3:C11" firstHeaderRow="0" firstDataRow="1" firstDataCol="1"/>
  <pivotFields count="11">
    <pivotField dataField="1" showAll="0"/>
    <pivotField showAll="0"/>
    <pivotField showAll="0"/>
    <pivotField showAll="0"/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alaire moyenne" fld="9" subtotal="average" baseField="4" baseItem="0"/>
    <dataField name="Nombre d'Employé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91E32-D7F8-42E4-AE78-4314C1C95979}" name="Tableau croisé dynamique4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Genre">
  <location ref="A3:B6" firstHeaderRow="1" firstDataRow="1" firstDataCol="1"/>
  <pivotFields count="11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Nombre Employées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ED74B-D656-4927-A2AD-8491989B8880}" name="Tableau croisé dynamique9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Poste">
  <location ref="A3:B25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26">
        <item x="18"/>
        <item x="6"/>
        <item x="10"/>
        <item x="17"/>
        <item x="3"/>
        <item x="5"/>
        <item x="20"/>
        <item x="2"/>
        <item m="1" x="21"/>
        <item x="11"/>
        <item x="1"/>
        <item x="15"/>
        <item x="8"/>
        <item x="0"/>
        <item x="13"/>
        <item x="14"/>
        <item m="1" x="23"/>
        <item x="19"/>
        <item x="7"/>
        <item x="16"/>
        <item x="12"/>
        <item x="9"/>
        <item m="1" x="22"/>
        <item x="4"/>
        <item m="1" x="24"/>
        <item t="default"/>
      </items>
    </pivotField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3"/>
    </i>
    <i t="grand">
      <x/>
    </i>
  </rowItems>
  <colItems count="1">
    <i/>
  </colItems>
  <dataFields count="1">
    <dataField name="Salaire moyenne" fld="9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5C267-73A0-477F-9BAF-58383429112C}" name="Tableau croisé dynamique14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Départements">
  <location ref="A3:D12" firstHeaderRow="1" firstDataRow="2" firstDataCol="1"/>
  <pivotFields count="11"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Nombre de ID_Employé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E1122-6FEE-41F1-88B1-7385CF4173B0}" name="Tableau croisé dynamique15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Tranche d'Ancienneté">
  <location ref="A3:B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8"/>
  </rowFields>
  <rowItems count="4">
    <i>
      <x v="2"/>
    </i>
    <i>
      <x v="3"/>
    </i>
    <i>
      <x v="4"/>
    </i>
    <i t="grand">
      <x/>
    </i>
  </rowItems>
  <colItems count="1">
    <i/>
  </colItems>
  <dataFields count="1">
    <dataField name="Salaire Moyenne" fld="9" subtotal="average" baseField="8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BA388-4B54-4ED1-9B4A-C94F33908D0C}" name="Tableau croisé dynamique7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Département">
  <location ref="A3:B11" firstHeaderRow="1" firstDataRow="1" firstDataCol="1"/>
  <pivotFields count="11">
    <pivotField showAll="0"/>
    <pivotField showAll="0"/>
    <pivotField showAll="0"/>
    <pivotField showAll="0"/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alaire Moyen" fld="9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A3DE1-1127-441B-837E-141D8BAC0979}" name="Tableau croisé dynamique6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Villes">
  <location ref="A3:B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aire moyenne" fld="9" subtotal="average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8A0B0-292C-4F60-A874-670EDEA1A56D}" name="Tableau croisé dynamique8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Poste">
  <location ref="A3:B25" firstHeaderRow="1" firstDataRow="1" firstDataCol="1"/>
  <pivotFields count="11">
    <pivotField dataField="1" showAll="0"/>
    <pivotField showAll="0"/>
    <pivotField showAll="0"/>
    <pivotField showAll="0"/>
    <pivotField showAll="0"/>
    <pivotField axis="axisRow" showAll="0">
      <items count="26">
        <item x="18"/>
        <item x="6"/>
        <item x="10"/>
        <item x="17"/>
        <item x="3"/>
        <item x="5"/>
        <item x="20"/>
        <item x="2"/>
        <item m="1" x="21"/>
        <item x="11"/>
        <item x="1"/>
        <item x="15"/>
        <item x="8"/>
        <item x="0"/>
        <item x="13"/>
        <item x="14"/>
        <item m="1" x="23"/>
        <item x="19"/>
        <item x="7"/>
        <item x="16"/>
        <item x="12"/>
        <item x="9"/>
        <item m="1" x="22"/>
        <item x="4"/>
        <item m="1" x="24"/>
        <item t="default"/>
      </items>
    </pivotField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3"/>
    </i>
    <i t="grand">
      <x/>
    </i>
  </rowItems>
  <colItems count="1">
    <i/>
  </colItems>
  <dataFields count="1">
    <dataField name="Nombre d'Employés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345C3-5332-4C79-89C9-D167D2BD6099}" name="Tableau croisé dynamique5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Ville">
  <location ref="A3:B7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'Employés" fld="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E8F22-497B-4EAD-B6C8-5F3B36498BF6}" name="Tableau croisé dynamique13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B7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8"/>
  </rowFields>
  <rowItems count="4">
    <i>
      <x v="2"/>
    </i>
    <i>
      <x v="3"/>
    </i>
    <i>
      <x v="4"/>
    </i>
    <i t="grand">
      <x/>
    </i>
  </rowItems>
  <colItems count="1">
    <i/>
  </colItems>
  <dataFields count="1">
    <dataField name="Nombre de ID_Employé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AAF53-8AF2-4116-88DE-C4D40BF7B2E6}" name="Tableau croisé dynamique3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 rowHeaderCaption="Année d'embauche">
  <location ref="A3:B10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numFmtId="14" showAll="0"/>
    <pivotField axis="axisRow" showAll="0">
      <items count="7">
        <item x="5"/>
        <item x="3"/>
        <item x="1"/>
        <item x="0"/>
        <item x="2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mbre de Recrutement" fld="0" subtotal="count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917CC-5056-41A7-8E98-BDAAB0174E00}" name="Tableau croisé dynamique12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Genres">
  <location ref="A3:B6" firstHeaderRow="1" firstDataRow="1" firstDataCol="1"/>
  <pivotFields count="1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 Salaire Moyenne" fld="9" subtotal="average" baseField="3" baseItem="0"/>
  </dataFields>
  <formats count="2">
    <format dxfId="4">
      <pivotArea collapsedLevelsAreSubtotals="1" fieldPosition="0">
        <references count="1">
          <reference field="3" count="0"/>
        </references>
      </pivotArea>
    </format>
    <format dxfId="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96103-24C4-48D0-AC3B-D17430BF0CB8}" name="Tableau croisé dynamique11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Département">
  <location ref="A3:B11" firstHeaderRow="1" firstDataRow="1" firstDataCol="1"/>
  <pivotFields count="11">
    <pivotField showAll="0"/>
    <pivotField showAll="0"/>
    <pivotField showAll="0"/>
    <pivotField showAll="0"/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ncienneté Moyenne" fld="8" subtotal="average" baseField="4" baseItem="0"/>
  </dataFields>
  <formats count="1">
    <format dxfId="3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0D9FA-3D7B-40F4-9BEE-B950EC5803E5}" name="Tableau croisé dynamique1" cacheId="87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Département">
  <location ref="A3:B11" firstHeaderRow="1" firstDataRow="1" firstDataCol="1"/>
  <pivotFields count="11">
    <pivotField dataField="1" showAll="0"/>
    <pivotField showAll="0"/>
    <pivotField showAll="0"/>
    <pivotField showAll="0"/>
    <pivotField axis="axisRow" showAll="0">
      <items count="9">
        <item x="2"/>
        <item m="1" x="7"/>
        <item x="1"/>
        <item x="0"/>
        <item x="5"/>
        <item x="4"/>
        <item x="6"/>
        <item x="3"/>
        <item t="default"/>
      </items>
    </pivotField>
    <pivotField showAll="0"/>
    <pivotField numFmtId="14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4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Nombre de ID_Employé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04801A7-C082-41B6-9751-1AC6DA1E0C7B}" autoFormatId="16" applyNumberFormats="0" applyBorderFormats="0" applyFontFormats="0" applyPatternFormats="0" applyAlignmentFormats="0" applyWidthHeightFormats="0">
  <queryTableRefresh nextId="12">
    <queryTableFields count="11">
      <queryTableField id="1" name="ID_Employé" tableColumnId="12"/>
      <queryTableField id="2" name="Nom" tableColumnId="2"/>
      <queryTableField id="3" name="Prénom" tableColumnId="3"/>
      <queryTableField id="4" name="Genre" tableColumnId="4"/>
      <queryTableField id="5" name="Département" tableColumnId="5"/>
      <queryTableField id="6" name="Poste" tableColumnId="6"/>
      <queryTableField id="7" name="Date d'embauche" tableColumnId="7"/>
      <queryTableField id="8" name="Année_Embauche" tableColumnId="8"/>
      <queryTableField id="9" name="Ancienneté" tableColumnId="9"/>
      <queryTableField id="10" name="Salaire" tableColumnId="10"/>
      <queryTableField id="11" name="Ville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84B35-051A-4A09-8ABB-7131BCEFA668}" name="tbl_Employes" displayName="tbl_Employes" ref="A1:I31" totalsRowShown="0" headerRowDxfId="33">
  <autoFilter ref="A1:I31" xr:uid="{16C84B35-051A-4A09-8ABB-7131BCEFA668}"/>
  <tableColumns count="9">
    <tableColumn id="1" xr3:uid="{7D86E636-6E76-406B-9850-4DC27D532B86}" name="ID_Employé" dataDxfId="29"/>
    <tableColumn id="2" xr3:uid="{C82832CE-198D-444E-8250-E5BE29EB8DB7}" name="Nom"/>
    <tableColumn id="3" xr3:uid="{04217C07-0040-43E0-A831-E98E1906EC8E}" name="Prénom"/>
    <tableColumn id="4" xr3:uid="{822E3D9B-9FA4-44C7-A938-65C09EAB0131}" name="Genre" dataDxfId="28"/>
    <tableColumn id="5" xr3:uid="{C2171349-8FDA-4D77-AAAB-7D77D87D22AC}" name="Département"/>
    <tableColumn id="6" xr3:uid="{D8AAFA24-4039-4F6A-9EDE-B7642594DDD6}" name="Poste"/>
    <tableColumn id="7" xr3:uid="{9D23464D-0A75-41A5-AC25-67C1382E2219}" name="Date d'embauche" dataDxfId="32"/>
    <tableColumn id="8" xr3:uid="{26C43089-6D07-4269-92F3-481214D6A389}" name="Salaire" dataDxfId="31"/>
    <tableColumn id="9" xr3:uid="{2A78A7A8-F595-410C-8952-2BD955D1FD1E}" name="Ville" dataDxfId="3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37C3A0-3BDA-4A97-B501-79C41C2B9D97}" name="RH_Employes_1" displayName="RH_Employes_1" ref="A1:K31" tableType="queryTable" totalsRowShown="0">
  <autoFilter ref="A1:K31" xr:uid="{D137C3A0-3BDA-4A97-B501-79C41C2B9D97}"/>
  <tableColumns count="11">
    <tableColumn id="12" xr3:uid="{9415A2AF-0D3F-45C7-9188-D501B94254A3}" uniqueName="12" name="ID_Employé" queryTableFieldId="1" dataDxfId="19"/>
    <tableColumn id="2" xr3:uid="{3F9533CD-C36C-478A-8B56-396FDB1F59BA}" uniqueName="2" name="Nom" queryTableFieldId="2" dataDxfId="18"/>
    <tableColumn id="3" xr3:uid="{6046C1C0-61C4-463E-B2E4-3BB9A0D26B01}" uniqueName="3" name="Prénom" queryTableFieldId="3" dataDxfId="17"/>
    <tableColumn id="4" xr3:uid="{D4533C0B-701E-4893-AB81-BB024F539E5D}" uniqueName="4" name="Genre" queryTableFieldId="4" dataDxfId="16"/>
    <tableColumn id="5" xr3:uid="{4B4D849F-8008-4F68-9D6A-2A70AFA4EC4D}" uniqueName="5" name="Département" queryTableFieldId="5" dataDxfId="15"/>
    <tableColumn id="6" xr3:uid="{51299E8D-62A5-4843-AA8C-CF47D320AFF8}" uniqueName="6" name="Poste" queryTableFieldId="6" dataDxfId="14"/>
    <tableColumn id="7" xr3:uid="{3828643E-EE36-41E5-A3F6-A0C7076DA6DD}" uniqueName="7" name="Date d'embauche" queryTableFieldId="7" dataDxfId="13"/>
    <tableColumn id="8" xr3:uid="{A967508B-EDBB-4552-BC6B-ED7EABB3782C}" uniqueName="8" name="Année_Embauche" queryTableFieldId="8"/>
    <tableColumn id="9" xr3:uid="{E05169F0-D42E-4ADE-B433-D654A1ADCFEB}" uniqueName="9" name="Ancienneté" queryTableFieldId="9"/>
    <tableColumn id="10" xr3:uid="{5A53A0A1-A563-477B-ADA8-57A3809218E7}" uniqueName="10" name="Salaire" queryTableFieldId="10"/>
    <tableColumn id="11" xr3:uid="{F34BD40F-0908-4E35-B6A0-2FAF0F6FF1A0}" uniqueName="11" name="Ville" queryTableFieldId="11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AC31-D719-4E54-8F90-AEFB9E398395}">
  <dimension ref="A1:I31"/>
  <sheetViews>
    <sheetView topLeftCell="B1" workbookViewId="0">
      <selection activeCell="D28" sqref="D28"/>
    </sheetView>
  </sheetViews>
  <sheetFormatPr baseColWidth="10" defaultRowHeight="14.4" x14ac:dyDescent="0.3"/>
  <cols>
    <col min="1" max="1" width="18.88671875" style="3" customWidth="1"/>
    <col min="2" max="2" width="15.109375" customWidth="1"/>
    <col min="3" max="3" width="18" customWidth="1"/>
    <col min="4" max="4" width="14.21875" style="3" customWidth="1"/>
    <col min="5" max="5" width="18.6640625" customWidth="1"/>
    <col min="6" max="6" width="23.21875" customWidth="1"/>
    <col min="7" max="7" width="17.6640625" style="9" customWidth="1"/>
    <col min="8" max="8" width="11.5546875" style="3"/>
    <col min="9" max="9" width="18.44140625" style="3" customWidth="1"/>
  </cols>
  <sheetData>
    <row r="1" spans="1:9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3" t="s">
        <v>130</v>
      </c>
    </row>
    <row r="2" spans="1:9" x14ac:dyDescent="0.3">
      <c r="A2" s="3" t="s">
        <v>8</v>
      </c>
      <c r="B2" t="s">
        <v>9</v>
      </c>
      <c r="C2" t="s">
        <v>10</v>
      </c>
      <c r="D2" s="3" t="s">
        <v>11</v>
      </c>
      <c r="E2" t="s">
        <v>12</v>
      </c>
      <c r="F2" t="s">
        <v>13</v>
      </c>
      <c r="G2" s="8">
        <v>44576</v>
      </c>
      <c r="H2" s="3">
        <v>450000</v>
      </c>
      <c r="I2" s="3" t="s">
        <v>14</v>
      </c>
    </row>
    <row r="3" spans="1:9" x14ac:dyDescent="0.3">
      <c r="A3" s="3" t="s">
        <v>15</v>
      </c>
      <c r="B3" t="s">
        <v>16</v>
      </c>
      <c r="C3" t="s">
        <v>17</v>
      </c>
      <c r="D3" s="3" t="s">
        <v>18</v>
      </c>
      <c r="E3" t="s">
        <v>19</v>
      </c>
      <c r="F3" t="s">
        <v>20</v>
      </c>
      <c r="G3" s="8">
        <v>44265</v>
      </c>
      <c r="H3" s="3">
        <v>400000</v>
      </c>
      <c r="I3" s="3" t="s">
        <v>14</v>
      </c>
    </row>
    <row r="4" spans="1:9" x14ac:dyDescent="0.3">
      <c r="A4" s="3" t="s">
        <v>21</v>
      </c>
      <c r="B4" t="s">
        <v>22</v>
      </c>
      <c r="C4" t="s">
        <v>23</v>
      </c>
      <c r="D4" s="3" t="s">
        <v>11</v>
      </c>
      <c r="E4" t="s">
        <v>24</v>
      </c>
      <c r="F4" t="s">
        <v>24</v>
      </c>
      <c r="G4" s="8">
        <v>45097</v>
      </c>
      <c r="H4" s="3">
        <v>350000</v>
      </c>
      <c r="I4" s="3" t="s">
        <v>25</v>
      </c>
    </row>
    <row r="5" spans="1:9" x14ac:dyDescent="0.3">
      <c r="A5" s="3" t="s">
        <v>26</v>
      </c>
      <c r="B5" t="s">
        <v>27</v>
      </c>
      <c r="C5" t="s">
        <v>28</v>
      </c>
      <c r="D5" s="3" t="s">
        <v>18</v>
      </c>
      <c r="E5" t="s">
        <v>29</v>
      </c>
      <c r="F5" t="s">
        <v>30</v>
      </c>
      <c r="G5" s="8">
        <v>44079</v>
      </c>
      <c r="H5" s="3">
        <v>380000</v>
      </c>
      <c r="I5" s="3" t="s">
        <v>14</v>
      </c>
    </row>
    <row r="6" spans="1:9" x14ac:dyDescent="0.3">
      <c r="A6" s="3" t="s">
        <v>31</v>
      </c>
      <c r="B6" t="s">
        <v>32</v>
      </c>
      <c r="C6" t="s">
        <v>33</v>
      </c>
      <c r="D6" s="3" t="s">
        <v>11</v>
      </c>
      <c r="E6" t="s">
        <v>12</v>
      </c>
      <c r="F6" t="s">
        <v>34</v>
      </c>
      <c r="G6" s="8">
        <v>44877</v>
      </c>
      <c r="H6" s="3">
        <v>375000</v>
      </c>
      <c r="I6" s="3" t="s">
        <v>14</v>
      </c>
    </row>
    <row r="7" spans="1:9" x14ac:dyDescent="0.3">
      <c r="A7" s="3" t="s">
        <v>35</v>
      </c>
      <c r="B7" t="s">
        <v>36</v>
      </c>
      <c r="C7" t="s">
        <v>37</v>
      </c>
      <c r="D7" s="3" t="s">
        <v>18</v>
      </c>
      <c r="E7" t="s">
        <v>38</v>
      </c>
      <c r="F7" t="s">
        <v>39</v>
      </c>
      <c r="G7" s="8">
        <v>44975</v>
      </c>
      <c r="H7" s="3">
        <v>420000</v>
      </c>
      <c r="I7" s="3" t="s">
        <v>14</v>
      </c>
    </row>
    <row r="8" spans="1:9" x14ac:dyDescent="0.3">
      <c r="A8" s="3" t="s">
        <v>40</v>
      </c>
      <c r="B8" t="s">
        <v>41</v>
      </c>
      <c r="C8" t="s">
        <v>42</v>
      </c>
      <c r="D8" s="3" t="s">
        <v>11</v>
      </c>
      <c r="E8" t="s">
        <v>19</v>
      </c>
      <c r="F8" t="s">
        <v>43</v>
      </c>
      <c r="G8" s="8">
        <v>44399</v>
      </c>
      <c r="H8" s="3">
        <v>500000</v>
      </c>
      <c r="I8" s="3" t="s">
        <v>14</v>
      </c>
    </row>
    <row r="9" spans="1:9" x14ac:dyDescent="0.3">
      <c r="A9" s="3" t="s">
        <v>44</v>
      </c>
      <c r="B9" t="s">
        <v>45</v>
      </c>
      <c r="C9" t="s">
        <v>46</v>
      </c>
      <c r="D9" s="3" t="s">
        <v>18</v>
      </c>
      <c r="E9" t="s">
        <v>47</v>
      </c>
      <c r="F9" t="s">
        <v>47</v>
      </c>
      <c r="G9" s="8">
        <v>45299</v>
      </c>
      <c r="H9" s="3">
        <v>325000</v>
      </c>
      <c r="I9" s="3" t="s">
        <v>25</v>
      </c>
    </row>
    <row r="10" spans="1:9" x14ac:dyDescent="0.3">
      <c r="A10" s="3" t="s">
        <v>48</v>
      </c>
      <c r="B10" t="s">
        <v>49</v>
      </c>
      <c r="C10" t="s">
        <v>50</v>
      </c>
      <c r="D10" s="3" t="s">
        <v>11</v>
      </c>
      <c r="E10" t="s">
        <v>51</v>
      </c>
      <c r="F10" t="s">
        <v>52</v>
      </c>
      <c r="G10" s="8">
        <v>43965</v>
      </c>
      <c r="H10" s="3">
        <v>480000</v>
      </c>
      <c r="I10" s="3" t="s">
        <v>14</v>
      </c>
    </row>
    <row r="11" spans="1:9" x14ac:dyDescent="0.3">
      <c r="A11" s="3" t="s">
        <v>53</v>
      </c>
      <c r="B11" t="s">
        <v>54</v>
      </c>
      <c r="C11" t="s">
        <v>55</v>
      </c>
      <c r="D11" s="3" t="s">
        <v>18</v>
      </c>
      <c r="E11" t="s">
        <v>12</v>
      </c>
      <c r="F11" t="s">
        <v>56</v>
      </c>
      <c r="G11" s="8">
        <v>45376</v>
      </c>
      <c r="H11" s="3">
        <v>475000</v>
      </c>
      <c r="I11" s="3" t="s">
        <v>14</v>
      </c>
    </row>
    <row r="12" spans="1:9" x14ac:dyDescent="0.3">
      <c r="A12" s="3" t="s">
        <v>57</v>
      </c>
      <c r="B12" t="s">
        <v>58</v>
      </c>
      <c r="C12" t="s">
        <v>59</v>
      </c>
      <c r="D12" s="3" t="s">
        <v>11</v>
      </c>
      <c r="E12" t="s">
        <v>60</v>
      </c>
      <c r="F12" t="s">
        <v>61</v>
      </c>
      <c r="G12" s="8">
        <v>44480</v>
      </c>
      <c r="H12" s="3">
        <v>430000</v>
      </c>
      <c r="I12" s="3" t="s">
        <v>62</v>
      </c>
    </row>
    <row r="13" spans="1:9" x14ac:dyDescent="0.3">
      <c r="A13" s="3" t="s">
        <v>63</v>
      </c>
      <c r="B13" t="s">
        <v>64</v>
      </c>
      <c r="C13" t="s">
        <v>65</v>
      </c>
      <c r="D13" s="3" t="s">
        <v>18</v>
      </c>
      <c r="E13" t="s">
        <v>19</v>
      </c>
      <c r="F13" t="s">
        <v>66</v>
      </c>
      <c r="G13" s="8">
        <v>45145</v>
      </c>
      <c r="H13" s="3">
        <v>320000</v>
      </c>
      <c r="I13" s="3" t="s">
        <v>14</v>
      </c>
    </row>
    <row r="14" spans="1:9" x14ac:dyDescent="0.3">
      <c r="A14" s="3" t="s">
        <v>67</v>
      </c>
      <c r="B14" t="s">
        <v>68</v>
      </c>
      <c r="C14" t="s">
        <v>69</v>
      </c>
      <c r="D14" s="3" t="s">
        <v>11</v>
      </c>
      <c r="E14" t="s">
        <v>12</v>
      </c>
      <c r="F14" t="s">
        <v>13</v>
      </c>
      <c r="G14" s="8">
        <v>44670</v>
      </c>
      <c r="H14" s="3">
        <v>460000</v>
      </c>
      <c r="I14" s="3" t="s">
        <v>14</v>
      </c>
    </row>
    <row r="15" spans="1:9" x14ac:dyDescent="0.3">
      <c r="A15" s="3" t="s">
        <v>70</v>
      </c>
      <c r="B15" t="s">
        <v>71</v>
      </c>
      <c r="C15" t="s">
        <v>72</v>
      </c>
      <c r="D15" s="3" t="s">
        <v>18</v>
      </c>
      <c r="E15" t="s">
        <v>38</v>
      </c>
      <c r="F15" t="s">
        <v>73</v>
      </c>
      <c r="G15" s="8">
        <v>45334</v>
      </c>
      <c r="H15" s="3">
        <v>340000</v>
      </c>
      <c r="I15" s="3" t="s">
        <v>25</v>
      </c>
    </row>
    <row r="16" spans="1:9" x14ac:dyDescent="0.3">
      <c r="A16" s="3" t="s">
        <v>74</v>
      </c>
      <c r="B16" t="s">
        <v>75</v>
      </c>
      <c r="C16" t="s">
        <v>76</v>
      </c>
      <c r="D16" s="3" t="s">
        <v>11</v>
      </c>
      <c r="E16" t="s">
        <v>24</v>
      </c>
      <c r="F16" s="6" t="s">
        <v>24</v>
      </c>
      <c r="G16" s="8">
        <v>45049</v>
      </c>
      <c r="H16" s="3">
        <v>360000</v>
      </c>
      <c r="I16" s="3" t="s">
        <v>14</v>
      </c>
    </row>
    <row r="17" spans="1:9" x14ac:dyDescent="0.3">
      <c r="A17" s="3" t="s">
        <v>77</v>
      </c>
      <c r="B17" t="s">
        <v>78</v>
      </c>
      <c r="C17" t="s">
        <v>79</v>
      </c>
      <c r="D17" s="3" t="s">
        <v>18</v>
      </c>
      <c r="E17" t="s">
        <v>29</v>
      </c>
      <c r="F17" t="s">
        <v>80</v>
      </c>
      <c r="G17" s="8">
        <v>43789</v>
      </c>
      <c r="H17" s="3">
        <v>550000</v>
      </c>
      <c r="I17" s="3" t="s">
        <v>14</v>
      </c>
    </row>
    <row r="18" spans="1:9" x14ac:dyDescent="0.3">
      <c r="A18" s="3" t="s">
        <v>81</v>
      </c>
      <c r="B18" t="s">
        <v>82</v>
      </c>
      <c r="C18" t="s">
        <v>83</v>
      </c>
      <c r="D18" s="3" t="s">
        <v>11</v>
      </c>
      <c r="E18" t="s">
        <v>51</v>
      </c>
      <c r="F18" t="s">
        <v>84</v>
      </c>
      <c r="G18" s="8">
        <v>44789</v>
      </c>
      <c r="H18" s="3">
        <v>300000</v>
      </c>
      <c r="I18" s="3" t="s">
        <v>62</v>
      </c>
    </row>
    <row r="19" spans="1:9" x14ac:dyDescent="0.3">
      <c r="A19" s="3" t="s">
        <v>85</v>
      </c>
      <c r="B19" t="s">
        <v>86</v>
      </c>
      <c r="C19" t="s">
        <v>17</v>
      </c>
      <c r="D19" s="3" t="s">
        <v>18</v>
      </c>
      <c r="E19" t="s">
        <v>60</v>
      </c>
      <c r="F19" t="s">
        <v>87</v>
      </c>
      <c r="G19" s="8">
        <v>45392</v>
      </c>
      <c r="H19" s="3">
        <v>290000</v>
      </c>
      <c r="I19" s="3" t="s">
        <v>25</v>
      </c>
    </row>
    <row r="20" spans="1:9" x14ac:dyDescent="0.3">
      <c r="A20" s="3" t="s">
        <v>88</v>
      </c>
      <c r="B20" t="s">
        <v>89</v>
      </c>
      <c r="C20" t="s">
        <v>23</v>
      </c>
      <c r="D20" s="3" t="s">
        <v>11</v>
      </c>
      <c r="E20" t="s">
        <v>19</v>
      </c>
      <c r="F20" t="s">
        <v>90</v>
      </c>
      <c r="G20" s="8">
        <v>43889</v>
      </c>
      <c r="H20" s="3">
        <v>525000</v>
      </c>
      <c r="I20" s="3" t="s">
        <v>14</v>
      </c>
    </row>
    <row r="21" spans="1:9" x14ac:dyDescent="0.3">
      <c r="A21" s="3" t="s">
        <v>91</v>
      </c>
      <c r="B21" t="s">
        <v>92</v>
      </c>
      <c r="C21" t="s">
        <v>93</v>
      </c>
      <c r="D21" s="3" t="s">
        <v>18</v>
      </c>
      <c r="E21" t="s">
        <v>12</v>
      </c>
      <c r="F21" t="s">
        <v>94</v>
      </c>
      <c r="G21" s="8">
        <v>45184</v>
      </c>
      <c r="H21" s="3">
        <v>365000</v>
      </c>
      <c r="I21" s="3" t="s">
        <v>14</v>
      </c>
    </row>
    <row r="22" spans="1:9" x14ac:dyDescent="0.3">
      <c r="A22" s="3" t="s">
        <v>95</v>
      </c>
      <c r="B22" t="s">
        <v>96</v>
      </c>
      <c r="C22" t="s">
        <v>97</v>
      </c>
      <c r="D22" s="3" t="s">
        <v>11</v>
      </c>
      <c r="E22" t="s">
        <v>38</v>
      </c>
      <c r="F22" t="s">
        <v>98</v>
      </c>
      <c r="G22" s="8">
        <v>44214</v>
      </c>
      <c r="H22" s="3">
        <v>510000</v>
      </c>
      <c r="I22" s="3" t="s">
        <v>14</v>
      </c>
    </row>
    <row r="23" spans="1:9" x14ac:dyDescent="0.3">
      <c r="A23" s="3" t="s">
        <v>99</v>
      </c>
      <c r="B23" t="s">
        <v>100</v>
      </c>
      <c r="C23" t="s">
        <v>101</v>
      </c>
      <c r="D23" s="3" t="s">
        <v>18</v>
      </c>
      <c r="E23" t="s">
        <v>24</v>
      </c>
      <c r="F23" t="s">
        <v>47</v>
      </c>
      <c r="G23" s="8">
        <v>45418</v>
      </c>
      <c r="H23" s="3">
        <v>315000</v>
      </c>
      <c r="I23" s="3" t="s">
        <v>62</v>
      </c>
    </row>
    <row r="24" spans="1:9" x14ac:dyDescent="0.3">
      <c r="A24" s="3" t="s">
        <v>102</v>
      </c>
      <c r="B24" t="s">
        <v>103</v>
      </c>
      <c r="C24" t="s">
        <v>104</v>
      </c>
      <c r="D24" s="3" t="s">
        <v>11</v>
      </c>
      <c r="E24" t="s">
        <v>60</v>
      </c>
      <c r="F24" t="s">
        <v>105</v>
      </c>
      <c r="G24" s="8">
        <v>44725</v>
      </c>
      <c r="H24" s="3">
        <v>310000</v>
      </c>
      <c r="I24" s="3" t="s">
        <v>25</v>
      </c>
    </row>
    <row r="25" spans="1:9" x14ac:dyDescent="0.3">
      <c r="A25" s="3" t="s">
        <v>106</v>
      </c>
      <c r="B25" t="s">
        <v>107</v>
      </c>
      <c r="C25" t="s">
        <v>108</v>
      </c>
      <c r="D25" s="3" t="s">
        <v>18</v>
      </c>
      <c r="E25" t="s">
        <v>51</v>
      </c>
      <c r="F25" t="s">
        <v>109</v>
      </c>
      <c r="G25" s="8">
        <v>45239</v>
      </c>
      <c r="H25" s="3">
        <v>330000</v>
      </c>
      <c r="I25" s="3" t="s">
        <v>14</v>
      </c>
    </row>
    <row r="26" spans="1:9" x14ac:dyDescent="0.3">
      <c r="A26" s="3" t="s">
        <v>110</v>
      </c>
      <c r="B26" t="s">
        <v>111</v>
      </c>
      <c r="C26" t="s">
        <v>42</v>
      </c>
      <c r="D26" s="3" t="s">
        <v>11</v>
      </c>
      <c r="E26" t="s">
        <v>12</v>
      </c>
      <c r="F26" t="s">
        <v>112</v>
      </c>
      <c r="G26" s="8">
        <v>44029</v>
      </c>
      <c r="H26" s="3">
        <v>490000</v>
      </c>
      <c r="I26" s="3" t="s">
        <v>14</v>
      </c>
    </row>
    <row r="27" spans="1:9" x14ac:dyDescent="0.3">
      <c r="A27" s="3" t="s">
        <v>113</v>
      </c>
      <c r="B27" t="s">
        <v>114</v>
      </c>
      <c r="C27" t="s">
        <v>115</v>
      </c>
      <c r="D27" s="3" t="s">
        <v>18</v>
      </c>
      <c r="E27" t="s">
        <v>19</v>
      </c>
      <c r="F27" t="s">
        <v>20</v>
      </c>
      <c r="G27" s="8">
        <v>44900</v>
      </c>
      <c r="H27" s="3">
        <v>395000</v>
      </c>
      <c r="I27" s="3" t="s">
        <v>14</v>
      </c>
    </row>
    <row r="28" spans="1:9" x14ac:dyDescent="0.3">
      <c r="A28" s="3" t="s">
        <v>116</v>
      </c>
      <c r="B28" t="s">
        <v>117</v>
      </c>
      <c r="C28" t="s">
        <v>118</v>
      </c>
      <c r="D28" s="3" t="s">
        <v>11</v>
      </c>
      <c r="E28" t="s">
        <v>24</v>
      </c>
      <c r="F28" t="s">
        <v>119</v>
      </c>
      <c r="G28" s="8">
        <v>43578</v>
      </c>
      <c r="H28" s="3">
        <v>575000</v>
      </c>
      <c r="I28" s="3" t="s">
        <v>14</v>
      </c>
    </row>
    <row r="29" spans="1:9" x14ac:dyDescent="0.3">
      <c r="A29" s="3" t="s">
        <v>120</v>
      </c>
      <c r="B29" t="s">
        <v>121</v>
      </c>
      <c r="C29" t="s">
        <v>122</v>
      </c>
      <c r="D29" s="3" t="s">
        <v>18</v>
      </c>
      <c r="E29" t="s">
        <v>29</v>
      </c>
      <c r="F29" t="s">
        <v>30</v>
      </c>
      <c r="G29" s="8">
        <v>45457</v>
      </c>
      <c r="H29" s="3">
        <v>305000</v>
      </c>
      <c r="I29" s="3" t="s">
        <v>25</v>
      </c>
    </row>
    <row r="30" spans="1:9" x14ac:dyDescent="0.3">
      <c r="A30" s="3" t="s">
        <v>123</v>
      </c>
      <c r="B30" t="s">
        <v>124</v>
      </c>
      <c r="C30" t="s">
        <v>50</v>
      </c>
      <c r="D30" s="3" t="s">
        <v>11</v>
      </c>
      <c r="E30" t="s">
        <v>51</v>
      </c>
      <c r="F30" t="s">
        <v>125</v>
      </c>
      <c r="G30" s="8">
        <v>44469</v>
      </c>
      <c r="H30" s="3">
        <v>280000</v>
      </c>
      <c r="I30" s="3" t="s">
        <v>62</v>
      </c>
    </row>
    <row r="31" spans="1:9" x14ac:dyDescent="0.3">
      <c r="A31" s="3" t="s">
        <v>126</v>
      </c>
      <c r="B31" t="s">
        <v>127</v>
      </c>
      <c r="C31" t="s">
        <v>128</v>
      </c>
      <c r="D31" s="3" t="s">
        <v>18</v>
      </c>
      <c r="E31" t="s">
        <v>60</v>
      </c>
      <c r="F31" t="s">
        <v>129</v>
      </c>
      <c r="G31" s="8">
        <v>44167</v>
      </c>
      <c r="H31" s="3">
        <v>445000</v>
      </c>
      <c r="I31" s="3" t="s">
        <v>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EB04-1B84-4CB6-AE71-E7039A47E765}">
  <dimension ref="A1:K31"/>
  <sheetViews>
    <sheetView topLeftCell="A2" workbookViewId="0">
      <selection sqref="A1:K31"/>
    </sheetView>
  </sheetViews>
  <sheetFormatPr baseColWidth="10" defaultRowHeight="14.4" x14ac:dyDescent="0.3"/>
  <cols>
    <col min="1" max="1" width="13.33203125" bestFit="1" customWidth="1"/>
    <col min="2" max="2" width="7.5546875" bestFit="1" customWidth="1"/>
    <col min="3" max="3" width="10.33203125" bestFit="1" customWidth="1"/>
    <col min="4" max="4" width="8.21875" bestFit="1" customWidth="1"/>
    <col min="5" max="5" width="18.6640625" bestFit="1" customWidth="1"/>
    <col min="6" max="6" width="21.6640625" bestFit="1" customWidth="1"/>
    <col min="7" max="7" width="18" bestFit="1" customWidth="1"/>
    <col min="8" max="8" width="18.6640625" bestFit="1" customWidth="1"/>
    <col min="9" max="9" width="12.77734375" bestFit="1" customWidth="1"/>
    <col min="10" max="10" width="8.77734375" bestFit="1" customWidth="1"/>
    <col min="11" max="11" width="8" bestFit="1" customWidth="1"/>
  </cols>
  <sheetData>
    <row r="1" spans="1:1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131</v>
      </c>
      <c r="I1" s="6" t="s">
        <v>132</v>
      </c>
      <c r="J1" s="6" t="s">
        <v>7</v>
      </c>
      <c r="K1" s="6" t="s">
        <v>130</v>
      </c>
    </row>
    <row r="2" spans="1:11" x14ac:dyDescent="0.3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5">
        <v>44576</v>
      </c>
      <c r="H2" s="6">
        <v>2022</v>
      </c>
      <c r="I2" s="6">
        <v>4</v>
      </c>
      <c r="J2" s="6">
        <v>450000</v>
      </c>
      <c r="K2" s="6" t="s">
        <v>14</v>
      </c>
    </row>
    <row r="3" spans="1:11" x14ac:dyDescent="0.3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5">
        <v>44265</v>
      </c>
      <c r="H3" s="6">
        <v>2021</v>
      </c>
      <c r="I3" s="6">
        <v>5</v>
      </c>
      <c r="J3" s="6">
        <v>400000</v>
      </c>
      <c r="K3" s="6" t="s">
        <v>14</v>
      </c>
    </row>
    <row r="4" spans="1:11" x14ac:dyDescent="0.3">
      <c r="A4" s="6" t="s">
        <v>21</v>
      </c>
      <c r="B4" s="6" t="s">
        <v>22</v>
      </c>
      <c r="C4" s="6" t="s">
        <v>23</v>
      </c>
      <c r="D4" s="6" t="s">
        <v>11</v>
      </c>
      <c r="E4" s="6" t="s">
        <v>24</v>
      </c>
      <c r="F4" s="6" t="s">
        <v>24</v>
      </c>
      <c r="G4" s="5">
        <v>45097</v>
      </c>
      <c r="H4" s="6">
        <v>2023</v>
      </c>
      <c r="I4" s="6">
        <v>3</v>
      </c>
      <c r="J4" s="6">
        <v>350000</v>
      </c>
      <c r="K4" s="6" t="s">
        <v>25</v>
      </c>
    </row>
    <row r="5" spans="1:11" x14ac:dyDescent="0.3">
      <c r="A5" s="6" t="s">
        <v>26</v>
      </c>
      <c r="B5" s="6" t="s">
        <v>27</v>
      </c>
      <c r="C5" s="6" t="s">
        <v>28</v>
      </c>
      <c r="D5" s="6" t="s">
        <v>18</v>
      </c>
      <c r="E5" s="6" t="s">
        <v>29</v>
      </c>
      <c r="F5" s="6" t="s">
        <v>30</v>
      </c>
      <c r="G5" s="5">
        <v>44079</v>
      </c>
      <c r="H5" s="6">
        <v>2020</v>
      </c>
      <c r="I5" s="6">
        <v>6</v>
      </c>
      <c r="J5" s="6">
        <v>380000</v>
      </c>
      <c r="K5" s="6" t="s">
        <v>14</v>
      </c>
    </row>
    <row r="6" spans="1:11" x14ac:dyDescent="0.3">
      <c r="A6" s="6" t="s">
        <v>31</v>
      </c>
      <c r="B6" s="6" t="s">
        <v>32</v>
      </c>
      <c r="C6" s="6" t="s">
        <v>33</v>
      </c>
      <c r="D6" s="6" t="s">
        <v>11</v>
      </c>
      <c r="E6" s="6" t="s">
        <v>12</v>
      </c>
      <c r="F6" s="6" t="s">
        <v>34</v>
      </c>
      <c r="G6" s="5">
        <v>44877</v>
      </c>
      <c r="H6" s="6">
        <v>2022</v>
      </c>
      <c r="I6" s="6">
        <v>3</v>
      </c>
      <c r="J6" s="6">
        <v>375000</v>
      </c>
      <c r="K6" s="6" t="s">
        <v>14</v>
      </c>
    </row>
    <row r="7" spans="1:11" x14ac:dyDescent="0.3">
      <c r="A7" s="6" t="s">
        <v>35</v>
      </c>
      <c r="B7" s="6" t="s">
        <v>36</v>
      </c>
      <c r="C7" s="6" t="s">
        <v>37</v>
      </c>
      <c r="D7" s="6" t="s">
        <v>18</v>
      </c>
      <c r="E7" s="6" t="s">
        <v>38</v>
      </c>
      <c r="F7" s="6" t="s">
        <v>39</v>
      </c>
      <c r="G7" s="5">
        <v>44975</v>
      </c>
      <c r="H7" s="6">
        <v>2023</v>
      </c>
      <c r="I7" s="6">
        <v>3</v>
      </c>
      <c r="J7" s="6">
        <v>420000</v>
      </c>
      <c r="K7" s="6" t="s">
        <v>14</v>
      </c>
    </row>
    <row r="8" spans="1:11" x14ac:dyDescent="0.3">
      <c r="A8" s="6" t="s">
        <v>40</v>
      </c>
      <c r="B8" s="6" t="s">
        <v>41</v>
      </c>
      <c r="C8" s="6" t="s">
        <v>42</v>
      </c>
      <c r="D8" s="6" t="s">
        <v>11</v>
      </c>
      <c r="E8" s="6" t="s">
        <v>19</v>
      </c>
      <c r="F8" s="6" t="s">
        <v>43</v>
      </c>
      <c r="G8" s="5">
        <v>44399</v>
      </c>
      <c r="H8" s="6">
        <v>2021</v>
      </c>
      <c r="I8" s="6">
        <v>5</v>
      </c>
      <c r="J8" s="6">
        <v>500000</v>
      </c>
      <c r="K8" s="6" t="s">
        <v>14</v>
      </c>
    </row>
    <row r="9" spans="1:11" x14ac:dyDescent="0.3">
      <c r="A9" s="6" t="s">
        <v>44</v>
      </c>
      <c r="B9" s="6" t="s">
        <v>45</v>
      </c>
      <c r="C9" s="6" t="s">
        <v>46</v>
      </c>
      <c r="D9" s="6" t="s">
        <v>18</v>
      </c>
      <c r="E9" s="6" t="s">
        <v>24</v>
      </c>
      <c r="F9" s="6" t="s">
        <v>24</v>
      </c>
      <c r="G9" s="5">
        <v>45299</v>
      </c>
      <c r="H9" s="6">
        <v>2024</v>
      </c>
      <c r="I9" s="6">
        <v>2</v>
      </c>
      <c r="J9" s="6">
        <v>325000</v>
      </c>
      <c r="K9" s="6" t="s">
        <v>25</v>
      </c>
    </row>
    <row r="10" spans="1:11" x14ac:dyDescent="0.3">
      <c r="A10" s="6" t="s">
        <v>48</v>
      </c>
      <c r="B10" s="6" t="s">
        <v>49</v>
      </c>
      <c r="C10" s="6" t="s">
        <v>50</v>
      </c>
      <c r="D10" s="6" t="s">
        <v>11</v>
      </c>
      <c r="E10" s="6" t="s">
        <v>51</v>
      </c>
      <c r="F10" s="6" t="s">
        <v>52</v>
      </c>
      <c r="G10" s="5">
        <v>43965</v>
      </c>
      <c r="H10" s="6">
        <v>2020</v>
      </c>
      <c r="I10" s="6">
        <v>6</v>
      </c>
      <c r="J10" s="6">
        <v>480000</v>
      </c>
      <c r="K10" s="6" t="s">
        <v>14</v>
      </c>
    </row>
    <row r="11" spans="1:11" x14ac:dyDescent="0.3">
      <c r="A11" s="6" t="s">
        <v>53</v>
      </c>
      <c r="B11" s="6" t="s">
        <v>54</v>
      </c>
      <c r="C11" s="6" t="s">
        <v>55</v>
      </c>
      <c r="D11" s="6" t="s">
        <v>18</v>
      </c>
      <c r="E11" s="6" t="s">
        <v>12</v>
      </c>
      <c r="F11" s="6" t="s">
        <v>56</v>
      </c>
      <c r="G11" s="5">
        <v>45376</v>
      </c>
      <c r="H11" s="6">
        <v>2024</v>
      </c>
      <c r="I11" s="6">
        <v>2</v>
      </c>
      <c r="J11" s="6">
        <v>475000</v>
      </c>
      <c r="K11" s="6" t="s">
        <v>14</v>
      </c>
    </row>
    <row r="12" spans="1:11" x14ac:dyDescent="0.3">
      <c r="A12" s="6" t="s">
        <v>57</v>
      </c>
      <c r="B12" s="6" t="s">
        <v>58</v>
      </c>
      <c r="C12" s="6" t="s">
        <v>59</v>
      </c>
      <c r="D12" s="6" t="s">
        <v>11</v>
      </c>
      <c r="E12" s="6" t="s">
        <v>60</v>
      </c>
      <c r="F12" s="6" t="s">
        <v>61</v>
      </c>
      <c r="G12" s="5">
        <v>44480</v>
      </c>
      <c r="H12" s="6">
        <v>2021</v>
      </c>
      <c r="I12" s="6">
        <v>4</v>
      </c>
      <c r="J12" s="6">
        <v>430000</v>
      </c>
      <c r="K12" s="6" t="s">
        <v>62</v>
      </c>
    </row>
    <row r="13" spans="1:11" x14ac:dyDescent="0.3">
      <c r="A13" s="6" t="s">
        <v>63</v>
      </c>
      <c r="B13" s="6" t="s">
        <v>64</v>
      </c>
      <c r="C13" s="6" t="s">
        <v>65</v>
      </c>
      <c r="D13" s="6" t="s">
        <v>18</v>
      </c>
      <c r="E13" s="6" t="s">
        <v>19</v>
      </c>
      <c r="F13" s="6" t="s">
        <v>66</v>
      </c>
      <c r="G13" s="5">
        <v>45145</v>
      </c>
      <c r="H13" s="6">
        <v>2023</v>
      </c>
      <c r="I13" s="6">
        <v>3</v>
      </c>
      <c r="J13" s="6">
        <v>320000</v>
      </c>
      <c r="K13" s="6" t="s">
        <v>14</v>
      </c>
    </row>
    <row r="14" spans="1:11" x14ac:dyDescent="0.3">
      <c r="A14" s="6" t="s">
        <v>67</v>
      </c>
      <c r="B14" s="6" t="s">
        <v>68</v>
      </c>
      <c r="C14" s="6" t="s">
        <v>69</v>
      </c>
      <c r="D14" s="6" t="s">
        <v>11</v>
      </c>
      <c r="E14" s="6" t="s">
        <v>12</v>
      </c>
      <c r="F14" s="6" t="s">
        <v>13</v>
      </c>
      <c r="G14" s="5">
        <v>44670</v>
      </c>
      <c r="H14" s="6">
        <v>2022</v>
      </c>
      <c r="I14" s="6">
        <v>4</v>
      </c>
      <c r="J14" s="6">
        <v>460000</v>
      </c>
      <c r="K14" s="6" t="s">
        <v>14</v>
      </c>
    </row>
    <row r="15" spans="1:11" x14ac:dyDescent="0.3">
      <c r="A15" s="6" t="s">
        <v>70</v>
      </c>
      <c r="B15" s="6" t="s">
        <v>71</v>
      </c>
      <c r="C15" s="6" t="s">
        <v>72</v>
      </c>
      <c r="D15" s="6" t="s">
        <v>18</v>
      </c>
      <c r="E15" s="6" t="s">
        <v>38</v>
      </c>
      <c r="F15" s="6" t="s">
        <v>73</v>
      </c>
      <c r="G15" s="5">
        <v>45334</v>
      </c>
      <c r="H15" s="6">
        <v>2024</v>
      </c>
      <c r="I15" s="6">
        <v>2</v>
      </c>
      <c r="J15" s="6">
        <v>340000</v>
      </c>
      <c r="K15" s="6" t="s">
        <v>25</v>
      </c>
    </row>
    <row r="16" spans="1:11" x14ac:dyDescent="0.3">
      <c r="A16" s="6" t="s">
        <v>74</v>
      </c>
      <c r="B16" s="6" t="s">
        <v>75</v>
      </c>
      <c r="C16" s="6" t="s">
        <v>76</v>
      </c>
      <c r="D16" s="6" t="s">
        <v>11</v>
      </c>
      <c r="E16" s="6" t="s">
        <v>24</v>
      </c>
      <c r="F16" s="6" t="s">
        <v>24</v>
      </c>
      <c r="G16" s="5">
        <v>45049</v>
      </c>
      <c r="H16" s="6">
        <v>2023</v>
      </c>
      <c r="I16" s="6">
        <v>3</v>
      </c>
      <c r="J16" s="6">
        <v>360000</v>
      </c>
      <c r="K16" s="6" t="s">
        <v>14</v>
      </c>
    </row>
    <row r="17" spans="1:11" x14ac:dyDescent="0.3">
      <c r="A17" s="6" t="s">
        <v>77</v>
      </c>
      <c r="B17" s="6" t="s">
        <v>78</v>
      </c>
      <c r="C17" s="6" t="s">
        <v>79</v>
      </c>
      <c r="D17" s="6" t="s">
        <v>18</v>
      </c>
      <c r="E17" s="6" t="s">
        <v>29</v>
      </c>
      <c r="F17" s="6" t="s">
        <v>80</v>
      </c>
      <c r="G17" s="5">
        <v>43789</v>
      </c>
      <c r="H17" s="6">
        <v>2019</v>
      </c>
      <c r="I17" s="6">
        <v>6</v>
      </c>
      <c r="J17" s="6">
        <v>550000</v>
      </c>
      <c r="K17" s="6" t="s">
        <v>14</v>
      </c>
    </row>
    <row r="18" spans="1:11" x14ac:dyDescent="0.3">
      <c r="A18" s="6" t="s">
        <v>81</v>
      </c>
      <c r="B18" s="6" t="s">
        <v>82</v>
      </c>
      <c r="C18" s="6" t="s">
        <v>83</v>
      </c>
      <c r="D18" s="6" t="s">
        <v>11</v>
      </c>
      <c r="E18" s="6" t="s">
        <v>51</v>
      </c>
      <c r="F18" s="6" t="s">
        <v>84</v>
      </c>
      <c r="G18" s="5">
        <v>44789</v>
      </c>
      <c r="H18" s="6">
        <v>2022</v>
      </c>
      <c r="I18" s="6">
        <v>4</v>
      </c>
      <c r="J18" s="6">
        <v>300000</v>
      </c>
      <c r="K18" s="6" t="s">
        <v>62</v>
      </c>
    </row>
    <row r="19" spans="1:11" x14ac:dyDescent="0.3">
      <c r="A19" s="6" t="s">
        <v>85</v>
      </c>
      <c r="B19" s="6" t="s">
        <v>86</v>
      </c>
      <c r="C19" s="6" t="s">
        <v>17</v>
      </c>
      <c r="D19" s="6" t="s">
        <v>18</v>
      </c>
      <c r="E19" s="6" t="s">
        <v>60</v>
      </c>
      <c r="F19" s="6" t="s">
        <v>105</v>
      </c>
      <c r="G19" s="5">
        <v>45392</v>
      </c>
      <c r="H19">
        <v>2024</v>
      </c>
      <c r="I19">
        <v>2</v>
      </c>
      <c r="J19">
        <v>290000</v>
      </c>
      <c r="K19" s="6" t="s">
        <v>25</v>
      </c>
    </row>
    <row r="20" spans="1:11" x14ac:dyDescent="0.3">
      <c r="A20" s="6" t="s">
        <v>88</v>
      </c>
      <c r="B20" s="6" t="s">
        <v>89</v>
      </c>
      <c r="C20" s="6" t="s">
        <v>23</v>
      </c>
      <c r="D20" s="6" t="s">
        <v>11</v>
      </c>
      <c r="E20" s="6" t="s">
        <v>19</v>
      </c>
      <c r="F20" s="6" t="s">
        <v>90</v>
      </c>
      <c r="G20" s="5">
        <v>43889</v>
      </c>
      <c r="H20">
        <v>2020</v>
      </c>
      <c r="I20">
        <v>6</v>
      </c>
      <c r="J20">
        <v>525000</v>
      </c>
      <c r="K20" s="6" t="s">
        <v>14</v>
      </c>
    </row>
    <row r="21" spans="1:11" x14ac:dyDescent="0.3">
      <c r="A21" s="6" t="s">
        <v>91</v>
      </c>
      <c r="B21" s="6" t="s">
        <v>133</v>
      </c>
      <c r="C21" s="6" t="s">
        <v>93</v>
      </c>
      <c r="D21" s="6" t="s">
        <v>18</v>
      </c>
      <c r="E21" s="6" t="s">
        <v>12</v>
      </c>
      <c r="F21" s="6" t="s">
        <v>34</v>
      </c>
      <c r="G21" s="5">
        <v>45184</v>
      </c>
      <c r="H21">
        <v>2023</v>
      </c>
      <c r="I21">
        <v>2</v>
      </c>
      <c r="J21">
        <v>365000</v>
      </c>
      <c r="K21" s="6" t="s">
        <v>14</v>
      </c>
    </row>
    <row r="22" spans="1:11" x14ac:dyDescent="0.3">
      <c r="A22" s="6" t="s">
        <v>95</v>
      </c>
      <c r="B22" s="6" t="s">
        <v>96</v>
      </c>
      <c r="C22" s="6" t="s">
        <v>97</v>
      </c>
      <c r="D22" s="6" t="s">
        <v>11</v>
      </c>
      <c r="E22" s="6" t="s">
        <v>38</v>
      </c>
      <c r="F22" s="6" t="s">
        <v>98</v>
      </c>
      <c r="G22" s="5">
        <v>44214</v>
      </c>
      <c r="H22">
        <v>2021</v>
      </c>
      <c r="I22">
        <v>5</v>
      </c>
      <c r="J22">
        <v>510000</v>
      </c>
      <c r="K22" s="6" t="s">
        <v>14</v>
      </c>
    </row>
    <row r="23" spans="1:11" x14ac:dyDescent="0.3">
      <c r="A23" s="6" t="s">
        <v>99</v>
      </c>
      <c r="B23" s="6" t="s">
        <v>100</v>
      </c>
      <c r="C23" s="6" t="s">
        <v>101</v>
      </c>
      <c r="D23" s="6" t="s">
        <v>18</v>
      </c>
      <c r="E23" s="6" t="s">
        <v>24</v>
      </c>
      <c r="F23" s="6" t="s">
        <v>24</v>
      </c>
      <c r="G23" s="5">
        <v>45418</v>
      </c>
      <c r="H23">
        <v>2024</v>
      </c>
      <c r="I23">
        <v>2</v>
      </c>
      <c r="J23">
        <v>315000</v>
      </c>
      <c r="K23" s="6" t="s">
        <v>62</v>
      </c>
    </row>
    <row r="24" spans="1:11" x14ac:dyDescent="0.3">
      <c r="A24" s="6" t="s">
        <v>102</v>
      </c>
      <c r="B24" s="6" t="s">
        <v>103</v>
      </c>
      <c r="C24" s="6" t="s">
        <v>104</v>
      </c>
      <c r="D24" s="6" t="s">
        <v>11</v>
      </c>
      <c r="E24" s="6" t="s">
        <v>60</v>
      </c>
      <c r="F24" s="6" t="s">
        <v>105</v>
      </c>
      <c r="G24" s="5">
        <v>44725</v>
      </c>
      <c r="H24">
        <v>2022</v>
      </c>
      <c r="I24">
        <v>4</v>
      </c>
      <c r="J24">
        <v>310000</v>
      </c>
      <c r="K24" s="6" t="s">
        <v>25</v>
      </c>
    </row>
    <row r="25" spans="1:11" x14ac:dyDescent="0.3">
      <c r="A25" s="6" t="s">
        <v>106</v>
      </c>
      <c r="B25" s="6" t="s">
        <v>107</v>
      </c>
      <c r="C25" s="6" t="s">
        <v>108</v>
      </c>
      <c r="D25" s="6" t="s">
        <v>18</v>
      </c>
      <c r="E25" s="6" t="s">
        <v>51</v>
      </c>
      <c r="F25" s="6" t="s">
        <v>109</v>
      </c>
      <c r="G25" s="5">
        <v>45239</v>
      </c>
      <c r="H25">
        <v>2023</v>
      </c>
      <c r="I25">
        <v>2</v>
      </c>
      <c r="J25">
        <v>330000</v>
      </c>
      <c r="K25" s="6" t="s">
        <v>14</v>
      </c>
    </row>
    <row r="26" spans="1:11" x14ac:dyDescent="0.3">
      <c r="A26" s="6" t="s">
        <v>110</v>
      </c>
      <c r="B26" s="6" t="s">
        <v>134</v>
      </c>
      <c r="C26" s="6" t="s">
        <v>42</v>
      </c>
      <c r="D26" s="6" t="s">
        <v>11</v>
      </c>
      <c r="E26" s="6" t="s">
        <v>12</v>
      </c>
      <c r="F26" s="6" t="s">
        <v>112</v>
      </c>
      <c r="G26" s="5">
        <v>44029</v>
      </c>
      <c r="H26">
        <v>2020</v>
      </c>
      <c r="I26">
        <v>6</v>
      </c>
      <c r="J26">
        <v>490000</v>
      </c>
      <c r="K26" s="6" t="s">
        <v>14</v>
      </c>
    </row>
    <row r="27" spans="1:11" x14ac:dyDescent="0.3">
      <c r="A27" s="6" t="s">
        <v>113</v>
      </c>
      <c r="B27" s="6" t="s">
        <v>135</v>
      </c>
      <c r="C27" s="6" t="s">
        <v>115</v>
      </c>
      <c r="D27" s="6" t="s">
        <v>18</v>
      </c>
      <c r="E27" s="6" t="s">
        <v>19</v>
      </c>
      <c r="F27" s="6" t="s">
        <v>20</v>
      </c>
      <c r="G27" s="5">
        <v>44900</v>
      </c>
      <c r="H27">
        <v>2022</v>
      </c>
      <c r="I27">
        <v>3</v>
      </c>
      <c r="J27">
        <v>395000</v>
      </c>
      <c r="K27" s="6" t="s">
        <v>14</v>
      </c>
    </row>
    <row r="28" spans="1:11" x14ac:dyDescent="0.3">
      <c r="A28" s="6" t="s">
        <v>116</v>
      </c>
      <c r="B28" s="6" t="s">
        <v>136</v>
      </c>
      <c r="C28" s="6" t="s">
        <v>118</v>
      </c>
      <c r="D28" s="6" t="s">
        <v>11</v>
      </c>
      <c r="E28" s="6" t="s">
        <v>24</v>
      </c>
      <c r="F28" s="6" t="s">
        <v>119</v>
      </c>
      <c r="G28" s="5">
        <v>43578</v>
      </c>
      <c r="H28">
        <v>2019</v>
      </c>
      <c r="I28">
        <v>7</v>
      </c>
      <c r="J28">
        <v>575000</v>
      </c>
      <c r="K28" s="6" t="s">
        <v>14</v>
      </c>
    </row>
    <row r="29" spans="1:11" x14ac:dyDescent="0.3">
      <c r="A29" s="6" t="s">
        <v>120</v>
      </c>
      <c r="B29" s="6" t="s">
        <v>137</v>
      </c>
      <c r="C29" s="6" t="s">
        <v>122</v>
      </c>
      <c r="D29" s="6" t="s">
        <v>18</v>
      </c>
      <c r="E29" s="6" t="s">
        <v>29</v>
      </c>
      <c r="F29" s="6" t="s">
        <v>30</v>
      </c>
      <c r="G29" s="5">
        <v>45457</v>
      </c>
      <c r="H29">
        <v>2024</v>
      </c>
      <c r="I29">
        <v>2</v>
      </c>
      <c r="J29">
        <v>305000</v>
      </c>
      <c r="K29" s="6" t="s">
        <v>25</v>
      </c>
    </row>
    <row r="30" spans="1:11" x14ac:dyDescent="0.3">
      <c r="A30" s="6" t="s">
        <v>123</v>
      </c>
      <c r="B30" s="6" t="s">
        <v>138</v>
      </c>
      <c r="C30" s="6" t="s">
        <v>50</v>
      </c>
      <c r="D30" s="6" t="s">
        <v>11</v>
      </c>
      <c r="E30" s="6" t="s">
        <v>51</v>
      </c>
      <c r="F30" s="6" t="s">
        <v>125</v>
      </c>
      <c r="G30" s="5">
        <v>44469</v>
      </c>
      <c r="H30">
        <v>2021</v>
      </c>
      <c r="I30">
        <v>4</v>
      </c>
      <c r="J30">
        <v>280000</v>
      </c>
      <c r="K30" s="6" t="s">
        <v>62</v>
      </c>
    </row>
    <row r="31" spans="1:11" x14ac:dyDescent="0.3">
      <c r="A31" s="6" t="s">
        <v>126</v>
      </c>
      <c r="B31" s="6" t="s">
        <v>139</v>
      </c>
      <c r="C31" s="6" t="s">
        <v>128</v>
      </c>
      <c r="D31" s="6" t="s">
        <v>18</v>
      </c>
      <c r="E31" s="6" t="s">
        <v>60</v>
      </c>
      <c r="F31" s="6" t="s">
        <v>61</v>
      </c>
      <c r="G31" s="5">
        <v>44167</v>
      </c>
      <c r="H31">
        <v>2020</v>
      </c>
      <c r="I31">
        <v>5</v>
      </c>
      <c r="J31">
        <v>445000</v>
      </c>
      <c r="K31" s="6" t="s">
        <v>14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B0C4-0282-41D2-9E93-58F31F32B8E9}">
  <dimension ref="A3:C11"/>
  <sheetViews>
    <sheetView workbookViewId="0">
      <selection activeCell="A4" sqref="A4:C10"/>
    </sheetView>
  </sheetViews>
  <sheetFormatPr baseColWidth="10" defaultRowHeight="14.4" x14ac:dyDescent="0.3"/>
  <cols>
    <col min="1" max="1" width="19.5546875" bestFit="1" customWidth="1"/>
    <col min="2" max="2" width="18.109375" bestFit="1" customWidth="1"/>
    <col min="3" max="3" width="23.6640625" customWidth="1"/>
    <col min="4" max="31" width="7.88671875" bestFit="1" customWidth="1"/>
    <col min="32" max="32" width="12" bestFit="1" customWidth="1"/>
  </cols>
  <sheetData>
    <row r="3" spans="1:3" x14ac:dyDescent="0.3">
      <c r="A3" s="12" t="s">
        <v>153</v>
      </c>
      <c r="B3" t="s">
        <v>150</v>
      </c>
      <c r="C3" t="s">
        <v>156</v>
      </c>
    </row>
    <row r="4" spans="1:3" x14ac:dyDescent="0.3">
      <c r="A4" s="2" t="s">
        <v>24</v>
      </c>
      <c r="B4" s="6">
        <v>5</v>
      </c>
      <c r="C4" s="6">
        <v>385000</v>
      </c>
    </row>
    <row r="5" spans="1:3" x14ac:dyDescent="0.3">
      <c r="A5" s="2" t="s">
        <v>19</v>
      </c>
      <c r="B5" s="6">
        <v>5</v>
      </c>
      <c r="C5" s="6">
        <v>428000</v>
      </c>
    </row>
    <row r="6" spans="1:3" x14ac:dyDescent="0.3">
      <c r="A6" s="2" t="s">
        <v>12</v>
      </c>
      <c r="B6" s="6">
        <v>6</v>
      </c>
      <c r="C6" s="6">
        <v>435833.33333333331</v>
      </c>
    </row>
    <row r="7" spans="1:3" x14ac:dyDescent="0.3">
      <c r="A7" s="2" t="s">
        <v>51</v>
      </c>
      <c r="B7" s="6">
        <v>4</v>
      </c>
      <c r="C7" s="6">
        <v>347500</v>
      </c>
    </row>
    <row r="8" spans="1:3" x14ac:dyDescent="0.3">
      <c r="A8" s="2" t="s">
        <v>38</v>
      </c>
      <c r="B8" s="6">
        <v>3</v>
      </c>
      <c r="C8" s="6">
        <v>423333.33333333331</v>
      </c>
    </row>
    <row r="9" spans="1:3" x14ac:dyDescent="0.3">
      <c r="A9" s="2" t="s">
        <v>60</v>
      </c>
      <c r="B9" s="6">
        <v>4</v>
      </c>
      <c r="C9" s="6">
        <v>368750</v>
      </c>
    </row>
    <row r="10" spans="1:3" x14ac:dyDescent="0.3">
      <c r="A10" s="2" t="s">
        <v>29</v>
      </c>
      <c r="B10" s="6">
        <v>3</v>
      </c>
      <c r="C10" s="6">
        <v>411666.66666666669</v>
      </c>
    </row>
    <row r="11" spans="1:3" x14ac:dyDescent="0.3">
      <c r="A11" s="2" t="s">
        <v>144</v>
      </c>
      <c r="B11" s="6">
        <v>30</v>
      </c>
      <c r="C11" s="6">
        <v>401666.66666666669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A0C0-D508-4EA4-8DCD-2665C1C5CDAC}">
  <dimension ref="A3:B7"/>
  <sheetViews>
    <sheetView workbookViewId="0">
      <selection activeCell="B15" sqref="B15"/>
    </sheetView>
  </sheetViews>
  <sheetFormatPr baseColWidth="10" defaultRowHeight="14.4" x14ac:dyDescent="0.3"/>
  <cols>
    <col min="1" max="1" width="11.88671875" bestFit="1" customWidth="1"/>
    <col min="2" max="2" width="13.77734375" bestFit="1" customWidth="1"/>
  </cols>
  <sheetData>
    <row r="3" spans="1:2" x14ac:dyDescent="0.3">
      <c r="A3" s="12" t="s">
        <v>151</v>
      </c>
      <c r="B3" t="s">
        <v>164</v>
      </c>
    </row>
    <row r="4" spans="1:2" x14ac:dyDescent="0.3">
      <c r="A4" s="2" t="s">
        <v>14</v>
      </c>
      <c r="B4" s="6">
        <v>8805000</v>
      </c>
    </row>
    <row r="5" spans="1:2" x14ac:dyDescent="0.3">
      <c r="A5" s="2" t="s">
        <v>62</v>
      </c>
      <c r="B5" s="6">
        <v>1325000</v>
      </c>
    </row>
    <row r="6" spans="1:2" x14ac:dyDescent="0.3">
      <c r="A6" s="2" t="s">
        <v>25</v>
      </c>
      <c r="B6" s="6">
        <v>1920000</v>
      </c>
    </row>
    <row r="7" spans="1:2" x14ac:dyDescent="0.3">
      <c r="A7" s="2" t="s">
        <v>144</v>
      </c>
      <c r="B7" s="6">
        <v>12050000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2562-C0B5-4E7E-A90D-33D126AD8161}">
  <dimension ref="A3:B7"/>
  <sheetViews>
    <sheetView workbookViewId="0">
      <selection activeCell="A4" sqref="A4:B6"/>
    </sheetView>
  </sheetViews>
  <sheetFormatPr baseColWidth="10" defaultRowHeight="14.4" x14ac:dyDescent="0.3"/>
  <cols>
    <col min="1" max="1" width="18.6640625" bestFit="1" customWidth="1"/>
    <col min="2" max="2" width="18.109375" bestFit="1" customWidth="1"/>
  </cols>
  <sheetData>
    <row r="3" spans="1:2" x14ac:dyDescent="0.3">
      <c r="A3" s="12" t="s">
        <v>170</v>
      </c>
      <c r="B3" t="s">
        <v>150</v>
      </c>
    </row>
    <row r="4" spans="1:2" x14ac:dyDescent="0.3">
      <c r="A4" s="2" t="s">
        <v>167</v>
      </c>
      <c r="B4" s="6">
        <v>14</v>
      </c>
    </row>
    <row r="5" spans="1:2" x14ac:dyDescent="0.3">
      <c r="A5" s="2" t="s">
        <v>168</v>
      </c>
      <c r="B5" s="6">
        <v>9</v>
      </c>
    </row>
    <row r="6" spans="1:2" x14ac:dyDescent="0.3">
      <c r="A6" s="2" t="s">
        <v>169</v>
      </c>
      <c r="B6" s="6">
        <v>7</v>
      </c>
    </row>
    <row r="7" spans="1:2" x14ac:dyDescent="0.3">
      <c r="A7" s="2" t="s">
        <v>144</v>
      </c>
      <c r="B7" s="6">
        <v>30</v>
      </c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3DE1-96C1-4CA9-B606-242BB59FC686}">
  <dimension ref="A3:C11"/>
  <sheetViews>
    <sheetView workbookViewId="0">
      <selection activeCell="A4" sqref="A4:C10"/>
      <pivotSelection pane="bottomRight" showHeader="1" extendable="1" axis="axisRow" max="8" activeRow="3" previousRow="9" click="1" r:id="rId1">
        <pivotArea dataOnly="0" axis="axisRow" fieldPosition="0">
          <references count="1">
            <reference field="4" count="7">
              <x v="0"/>
              <x v="2"/>
              <x v="3"/>
              <x v="4"/>
              <x v="5"/>
              <x v="6"/>
              <x v="7"/>
            </reference>
          </references>
        </pivotArea>
      </pivotSelection>
    </sheetView>
  </sheetViews>
  <sheetFormatPr baseColWidth="10" defaultRowHeight="14.4" x14ac:dyDescent="0.3"/>
  <cols>
    <col min="1" max="1" width="18.6640625" bestFit="1" customWidth="1"/>
    <col min="2" max="2" width="13.44140625" bestFit="1" customWidth="1"/>
    <col min="3" max="3" width="13.77734375" bestFit="1" customWidth="1"/>
  </cols>
  <sheetData>
    <row r="3" spans="1:3" x14ac:dyDescent="0.3">
      <c r="A3" s="12" t="s">
        <v>153</v>
      </c>
      <c r="B3" t="s">
        <v>165</v>
      </c>
      <c r="C3" t="s">
        <v>166</v>
      </c>
    </row>
    <row r="4" spans="1:3" x14ac:dyDescent="0.3">
      <c r="A4" s="2" t="s">
        <v>24</v>
      </c>
      <c r="B4" s="6">
        <v>315000</v>
      </c>
      <c r="C4" s="6">
        <v>575000</v>
      </c>
    </row>
    <row r="5" spans="1:3" x14ac:dyDescent="0.3">
      <c r="A5" s="2" t="s">
        <v>19</v>
      </c>
      <c r="B5" s="6">
        <v>320000</v>
      </c>
      <c r="C5" s="6">
        <v>525000</v>
      </c>
    </row>
    <row r="6" spans="1:3" x14ac:dyDescent="0.3">
      <c r="A6" s="2" t="s">
        <v>12</v>
      </c>
      <c r="B6" s="6">
        <v>365000</v>
      </c>
      <c r="C6" s="6">
        <v>490000</v>
      </c>
    </row>
    <row r="7" spans="1:3" x14ac:dyDescent="0.3">
      <c r="A7" s="2" t="s">
        <v>51</v>
      </c>
      <c r="B7" s="6">
        <v>280000</v>
      </c>
      <c r="C7" s="6">
        <v>480000</v>
      </c>
    </row>
    <row r="8" spans="1:3" x14ac:dyDescent="0.3">
      <c r="A8" s="2" t="s">
        <v>38</v>
      </c>
      <c r="B8" s="6">
        <v>340000</v>
      </c>
      <c r="C8" s="6">
        <v>510000</v>
      </c>
    </row>
    <row r="9" spans="1:3" x14ac:dyDescent="0.3">
      <c r="A9" s="2" t="s">
        <v>60</v>
      </c>
      <c r="B9" s="6">
        <v>290000</v>
      </c>
      <c r="C9" s="6">
        <v>445000</v>
      </c>
    </row>
    <row r="10" spans="1:3" x14ac:dyDescent="0.3">
      <c r="A10" s="2" t="s">
        <v>29</v>
      </c>
      <c r="B10" s="6">
        <v>305000</v>
      </c>
      <c r="C10" s="6">
        <v>550000</v>
      </c>
    </row>
    <row r="11" spans="1:3" x14ac:dyDescent="0.3">
      <c r="A11" s="2" t="s">
        <v>144</v>
      </c>
      <c r="B11" s="6">
        <v>280000</v>
      </c>
      <c r="C11" s="6">
        <v>575000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6FB3-F336-4EA9-A37B-A9816915E61D}">
  <dimension ref="A3:B11"/>
  <sheetViews>
    <sheetView workbookViewId="0">
      <selection activeCell="H22" sqref="H22"/>
    </sheetView>
  </sheetViews>
  <sheetFormatPr baseColWidth="10" defaultRowHeight="14.4" x14ac:dyDescent="0.3"/>
  <cols>
    <col min="1" max="1" width="18.6640625" bestFit="1" customWidth="1"/>
    <col min="2" max="2" width="13.5546875" bestFit="1" customWidth="1"/>
  </cols>
  <sheetData>
    <row r="3" spans="1:2" x14ac:dyDescent="0.3">
      <c r="A3" s="12" t="s">
        <v>153</v>
      </c>
      <c r="B3" t="s">
        <v>154</v>
      </c>
    </row>
    <row r="4" spans="1:2" x14ac:dyDescent="0.3">
      <c r="A4" s="2" t="s">
        <v>24</v>
      </c>
      <c r="B4" s="6">
        <v>1925000</v>
      </c>
    </row>
    <row r="5" spans="1:2" x14ac:dyDescent="0.3">
      <c r="A5" s="2" t="s">
        <v>19</v>
      </c>
      <c r="B5" s="6">
        <v>2140000</v>
      </c>
    </row>
    <row r="6" spans="1:2" x14ac:dyDescent="0.3">
      <c r="A6" s="2" t="s">
        <v>12</v>
      </c>
      <c r="B6" s="6">
        <v>2615000</v>
      </c>
    </row>
    <row r="7" spans="1:2" x14ac:dyDescent="0.3">
      <c r="A7" s="2" t="s">
        <v>51</v>
      </c>
      <c r="B7" s="6">
        <v>1390000</v>
      </c>
    </row>
    <row r="8" spans="1:2" x14ac:dyDescent="0.3">
      <c r="A8" s="2" t="s">
        <v>38</v>
      </c>
      <c r="B8" s="6">
        <v>1270000</v>
      </c>
    </row>
    <row r="9" spans="1:2" x14ac:dyDescent="0.3">
      <c r="A9" s="2" t="s">
        <v>60</v>
      </c>
      <c r="B9" s="6">
        <v>1475000</v>
      </c>
    </row>
    <row r="10" spans="1:2" x14ac:dyDescent="0.3">
      <c r="A10" s="2" t="s">
        <v>29</v>
      </c>
      <c r="B10" s="6">
        <v>1235000</v>
      </c>
    </row>
    <row r="11" spans="1:2" x14ac:dyDescent="0.3">
      <c r="A11" s="2" t="s">
        <v>144</v>
      </c>
      <c r="B11" s="6">
        <v>12050000</v>
      </c>
    </row>
  </sheetData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BE58-74FF-4BFB-8AFB-6C2F3BDDD9BE}">
  <dimension ref="A3:C11"/>
  <sheetViews>
    <sheetView workbookViewId="0">
      <selection activeCell="C15" sqref="C15"/>
    </sheetView>
  </sheetViews>
  <sheetFormatPr baseColWidth="10" defaultRowHeight="14.4" x14ac:dyDescent="0.3"/>
  <cols>
    <col min="1" max="1" width="18.6640625" bestFit="1" customWidth="1"/>
    <col min="2" max="2" width="15" bestFit="1" customWidth="1"/>
    <col min="3" max="3" width="17.33203125" bestFit="1" customWidth="1"/>
  </cols>
  <sheetData>
    <row r="3" spans="1:3" x14ac:dyDescent="0.3">
      <c r="A3" s="12" t="s">
        <v>4</v>
      </c>
      <c r="B3" t="s">
        <v>145</v>
      </c>
      <c r="C3" t="s">
        <v>146</v>
      </c>
    </row>
    <row r="4" spans="1:3" x14ac:dyDescent="0.3">
      <c r="A4" s="2" t="s">
        <v>24</v>
      </c>
      <c r="B4" s="6">
        <v>385000</v>
      </c>
      <c r="C4" s="6">
        <v>5</v>
      </c>
    </row>
    <row r="5" spans="1:3" x14ac:dyDescent="0.3">
      <c r="A5" s="2" t="s">
        <v>19</v>
      </c>
      <c r="B5" s="6">
        <v>428000</v>
      </c>
      <c r="C5" s="6">
        <v>5</v>
      </c>
    </row>
    <row r="6" spans="1:3" x14ac:dyDescent="0.3">
      <c r="A6" s="2" t="s">
        <v>12</v>
      </c>
      <c r="B6" s="6">
        <v>435833.33333333331</v>
      </c>
      <c r="C6" s="6">
        <v>6</v>
      </c>
    </row>
    <row r="7" spans="1:3" x14ac:dyDescent="0.3">
      <c r="A7" s="2" t="s">
        <v>51</v>
      </c>
      <c r="B7" s="6">
        <v>347500</v>
      </c>
      <c r="C7" s="6">
        <v>4</v>
      </c>
    </row>
    <row r="8" spans="1:3" x14ac:dyDescent="0.3">
      <c r="A8" s="2" t="s">
        <v>38</v>
      </c>
      <c r="B8" s="6">
        <v>423333.33333333331</v>
      </c>
      <c r="C8" s="6">
        <v>3</v>
      </c>
    </row>
    <row r="9" spans="1:3" x14ac:dyDescent="0.3">
      <c r="A9" s="2" t="s">
        <v>60</v>
      </c>
      <c r="B9" s="6">
        <v>368750</v>
      </c>
      <c r="C9" s="6">
        <v>4</v>
      </c>
    </row>
    <row r="10" spans="1:3" x14ac:dyDescent="0.3">
      <c r="A10" s="2" t="s">
        <v>29</v>
      </c>
      <c r="B10" s="6">
        <v>411666.66666666669</v>
      </c>
      <c r="C10" s="6">
        <v>3</v>
      </c>
    </row>
    <row r="11" spans="1:3" x14ac:dyDescent="0.3">
      <c r="A11" s="2" t="s">
        <v>144</v>
      </c>
      <c r="B11" s="6">
        <v>401666.66666666669</v>
      </c>
      <c r="C11" s="6">
        <v>30</v>
      </c>
    </row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7C26-20C2-4B4D-8EBB-F2C542FC0A78}">
  <dimension ref="A3:B6"/>
  <sheetViews>
    <sheetView workbookViewId="0">
      <selection activeCell="A4" sqref="A4:B5"/>
    </sheetView>
  </sheetViews>
  <sheetFormatPr baseColWidth="10" defaultRowHeight="14.4" x14ac:dyDescent="0.3"/>
  <cols>
    <col min="1" max="1" width="11.88671875" bestFit="1" customWidth="1"/>
    <col min="2" max="2" width="17.5546875" bestFit="1" customWidth="1"/>
  </cols>
  <sheetData>
    <row r="3" spans="1:2" x14ac:dyDescent="0.3">
      <c r="A3" s="12" t="s">
        <v>3</v>
      </c>
      <c r="B3" t="s">
        <v>149</v>
      </c>
    </row>
    <row r="4" spans="1:2" x14ac:dyDescent="0.3">
      <c r="A4" s="2" t="s">
        <v>18</v>
      </c>
      <c r="B4" s="6">
        <v>15</v>
      </c>
    </row>
    <row r="5" spans="1:2" x14ac:dyDescent="0.3">
      <c r="A5" s="2" t="s">
        <v>11</v>
      </c>
      <c r="B5" s="6">
        <v>15</v>
      </c>
    </row>
    <row r="6" spans="1:2" x14ac:dyDescent="0.3">
      <c r="A6" s="2" t="s">
        <v>144</v>
      </c>
      <c r="B6" s="6">
        <v>30</v>
      </c>
    </row>
  </sheetData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0CCF-ABDC-4731-B5E8-941243BFBF00}">
  <dimension ref="A3:B25"/>
  <sheetViews>
    <sheetView workbookViewId="0">
      <selection activeCell="C18" sqref="C18"/>
    </sheetView>
  </sheetViews>
  <sheetFormatPr baseColWidth="10" defaultRowHeight="14.4" x14ac:dyDescent="0.3"/>
  <cols>
    <col min="1" max="1" width="21.6640625" bestFit="1" customWidth="1"/>
    <col min="2" max="2" width="15" bestFit="1" customWidth="1"/>
  </cols>
  <sheetData>
    <row r="3" spans="1:2" x14ac:dyDescent="0.3">
      <c r="A3" s="12" t="s">
        <v>5</v>
      </c>
      <c r="B3" t="s">
        <v>145</v>
      </c>
    </row>
    <row r="4" spans="1:2" x14ac:dyDescent="0.3">
      <c r="A4" s="2" t="s">
        <v>112</v>
      </c>
      <c r="B4" s="6">
        <v>490000</v>
      </c>
    </row>
    <row r="5" spans="1:2" x14ac:dyDescent="0.3">
      <c r="A5" s="2" t="s">
        <v>43</v>
      </c>
      <c r="B5" s="6">
        <v>500000</v>
      </c>
    </row>
    <row r="6" spans="1:2" x14ac:dyDescent="0.3">
      <c r="A6" s="2" t="s">
        <v>66</v>
      </c>
      <c r="B6" s="6">
        <v>320000</v>
      </c>
    </row>
    <row r="7" spans="1:2" x14ac:dyDescent="0.3">
      <c r="A7" s="2" t="s">
        <v>109</v>
      </c>
      <c r="B7" s="6">
        <v>330000</v>
      </c>
    </row>
    <row r="8" spans="1:2" x14ac:dyDescent="0.3">
      <c r="A8" s="2" t="s">
        <v>30</v>
      </c>
      <c r="B8" s="6">
        <v>342500</v>
      </c>
    </row>
    <row r="9" spans="1:2" x14ac:dyDescent="0.3">
      <c r="A9" s="2" t="s">
        <v>39</v>
      </c>
      <c r="B9" s="6">
        <v>420000</v>
      </c>
    </row>
    <row r="10" spans="1:2" x14ac:dyDescent="0.3">
      <c r="A10" s="2" t="s">
        <v>125</v>
      </c>
      <c r="B10" s="6">
        <v>280000</v>
      </c>
    </row>
    <row r="11" spans="1:2" x14ac:dyDescent="0.3">
      <c r="A11" s="2" t="s">
        <v>24</v>
      </c>
      <c r="B11" s="6">
        <v>337500</v>
      </c>
    </row>
    <row r="12" spans="1:2" x14ac:dyDescent="0.3">
      <c r="A12" s="2" t="s">
        <v>73</v>
      </c>
      <c r="B12" s="6">
        <v>340000</v>
      </c>
    </row>
    <row r="13" spans="1:2" x14ac:dyDescent="0.3">
      <c r="A13" s="2" t="s">
        <v>20</v>
      </c>
      <c r="B13" s="6">
        <v>397500</v>
      </c>
    </row>
    <row r="14" spans="1:2" x14ac:dyDescent="0.3">
      <c r="A14" s="2" t="s">
        <v>90</v>
      </c>
      <c r="B14" s="6">
        <v>525000</v>
      </c>
    </row>
    <row r="15" spans="1:2" x14ac:dyDescent="0.3">
      <c r="A15" s="2" t="s">
        <v>56</v>
      </c>
      <c r="B15" s="6">
        <v>475000</v>
      </c>
    </row>
    <row r="16" spans="1:2" x14ac:dyDescent="0.3">
      <c r="A16" s="2" t="s">
        <v>13</v>
      </c>
      <c r="B16" s="6">
        <v>455000</v>
      </c>
    </row>
    <row r="17" spans="1:2" x14ac:dyDescent="0.3">
      <c r="A17" s="2" t="s">
        <v>84</v>
      </c>
      <c r="B17" s="6">
        <v>300000</v>
      </c>
    </row>
    <row r="18" spans="1:2" x14ac:dyDescent="0.3">
      <c r="A18" s="2" t="s">
        <v>105</v>
      </c>
      <c r="B18" s="6">
        <v>300000</v>
      </c>
    </row>
    <row r="19" spans="1:2" x14ac:dyDescent="0.3">
      <c r="A19" s="2" t="s">
        <v>119</v>
      </c>
      <c r="B19" s="6">
        <v>575000</v>
      </c>
    </row>
    <row r="20" spans="1:2" x14ac:dyDescent="0.3">
      <c r="A20" s="2" t="s">
        <v>52</v>
      </c>
      <c r="B20" s="6">
        <v>480000</v>
      </c>
    </row>
    <row r="21" spans="1:2" x14ac:dyDescent="0.3">
      <c r="A21" s="2" t="s">
        <v>98</v>
      </c>
      <c r="B21" s="6">
        <v>510000</v>
      </c>
    </row>
    <row r="22" spans="1:2" x14ac:dyDescent="0.3">
      <c r="A22" s="2" t="s">
        <v>80</v>
      </c>
      <c r="B22" s="6">
        <v>550000</v>
      </c>
    </row>
    <row r="23" spans="1:2" x14ac:dyDescent="0.3">
      <c r="A23" s="2" t="s">
        <v>61</v>
      </c>
      <c r="B23" s="6">
        <v>437500</v>
      </c>
    </row>
    <row r="24" spans="1:2" x14ac:dyDescent="0.3">
      <c r="A24" s="2" t="s">
        <v>34</v>
      </c>
      <c r="B24" s="6">
        <v>370000</v>
      </c>
    </row>
    <row r="25" spans="1:2" x14ac:dyDescent="0.3">
      <c r="A25" s="2" t="s">
        <v>144</v>
      </c>
      <c r="B25" s="6">
        <v>401666.66666666669</v>
      </c>
    </row>
  </sheetData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3A5C-8218-411D-8D05-476A8EE416C5}">
  <dimension ref="A3:D12"/>
  <sheetViews>
    <sheetView workbookViewId="0">
      <selection activeCell="A5" sqref="A5:D11"/>
    </sheetView>
  </sheetViews>
  <sheetFormatPr baseColWidth="10" defaultRowHeight="14.4" x14ac:dyDescent="0.3"/>
  <cols>
    <col min="1" max="1" width="21.21875" bestFit="1" customWidth="1"/>
    <col min="2" max="2" width="22.33203125" bestFit="1" customWidth="1"/>
    <col min="3" max="3" width="7.6640625" bestFit="1" customWidth="1"/>
    <col min="4" max="4" width="11.88671875" bestFit="1" customWidth="1"/>
  </cols>
  <sheetData>
    <row r="3" spans="1:4" x14ac:dyDescent="0.3">
      <c r="A3" s="12" t="s">
        <v>142</v>
      </c>
      <c r="B3" s="12" t="s">
        <v>161</v>
      </c>
    </row>
    <row r="4" spans="1:4" x14ac:dyDescent="0.3">
      <c r="A4" s="12" t="s">
        <v>153</v>
      </c>
      <c r="B4" t="s">
        <v>18</v>
      </c>
      <c r="C4" t="s">
        <v>11</v>
      </c>
      <c r="D4" t="s">
        <v>144</v>
      </c>
    </row>
    <row r="5" spans="1:4" x14ac:dyDescent="0.3">
      <c r="A5" s="2" t="s">
        <v>24</v>
      </c>
      <c r="B5" s="6">
        <v>2</v>
      </c>
      <c r="C5" s="6">
        <v>3</v>
      </c>
      <c r="D5" s="6">
        <v>5</v>
      </c>
    </row>
    <row r="6" spans="1:4" x14ac:dyDescent="0.3">
      <c r="A6" s="2" t="s">
        <v>19</v>
      </c>
      <c r="B6" s="6">
        <v>3</v>
      </c>
      <c r="C6" s="6">
        <v>2</v>
      </c>
      <c r="D6" s="6">
        <v>5</v>
      </c>
    </row>
    <row r="7" spans="1:4" x14ac:dyDescent="0.3">
      <c r="A7" s="2" t="s">
        <v>12</v>
      </c>
      <c r="B7" s="6">
        <v>2</v>
      </c>
      <c r="C7" s="6">
        <v>4</v>
      </c>
      <c r="D7" s="6">
        <v>6</v>
      </c>
    </row>
    <row r="8" spans="1:4" x14ac:dyDescent="0.3">
      <c r="A8" s="2" t="s">
        <v>51</v>
      </c>
      <c r="B8" s="6">
        <v>1</v>
      </c>
      <c r="C8" s="6">
        <v>3</v>
      </c>
      <c r="D8" s="6">
        <v>4</v>
      </c>
    </row>
    <row r="9" spans="1:4" x14ac:dyDescent="0.3">
      <c r="A9" s="2" t="s">
        <v>38</v>
      </c>
      <c r="B9" s="6">
        <v>2</v>
      </c>
      <c r="C9" s="6">
        <v>1</v>
      </c>
      <c r="D9" s="6">
        <v>3</v>
      </c>
    </row>
    <row r="10" spans="1:4" x14ac:dyDescent="0.3">
      <c r="A10" s="2" t="s">
        <v>60</v>
      </c>
      <c r="B10" s="6">
        <v>2</v>
      </c>
      <c r="C10" s="6">
        <v>2</v>
      </c>
      <c r="D10" s="6">
        <v>4</v>
      </c>
    </row>
    <row r="11" spans="1:4" x14ac:dyDescent="0.3">
      <c r="A11" s="2" t="s">
        <v>29</v>
      </c>
      <c r="B11" s="6">
        <v>3</v>
      </c>
      <c r="C11" s="6"/>
      <c r="D11" s="6">
        <v>3</v>
      </c>
    </row>
    <row r="12" spans="1:4" x14ac:dyDescent="0.3">
      <c r="A12" s="2" t="s">
        <v>144</v>
      </c>
      <c r="B12" s="6">
        <v>15</v>
      </c>
      <c r="C12" s="6">
        <v>15</v>
      </c>
      <c r="D12" s="6">
        <v>30</v>
      </c>
    </row>
  </sheetData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CBC8-6F83-4F1B-B16E-FAC4C196B909}">
  <dimension ref="A3:B7"/>
  <sheetViews>
    <sheetView workbookViewId="0">
      <selection activeCell="A4" sqref="A4:B6"/>
      <pivotSelection pane="bottomRight" showHeader="1" extendable="1" axis="axisRow" max="4" activeRow="3" previousRow="5" click="1" r:id="rId1">
        <pivotArea dataOnly="0" axis="axisRow" fieldPosition="0">
          <references count="1">
            <reference field="8" count="3">
              <x v="2"/>
              <x v="3"/>
              <x v="4"/>
            </reference>
          </references>
        </pivotArea>
      </pivotSelection>
    </sheetView>
  </sheetViews>
  <sheetFormatPr baseColWidth="10" defaultRowHeight="14.4" x14ac:dyDescent="0.3"/>
  <cols>
    <col min="1" max="1" width="21.6640625" bestFit="1" customWidth="1"/>
    <col min="2" max="2" width="15.109375" bestFit="1" customWidth="1"/>
  </cols>
  <sheetData>
    <row r="3" spans="1:2" x14ac:dyDescent="0.3">
      <c r="A3" s="12" t="s">
        <v>163</v>
      </c>
      <c r="B3" t="s">
        <v>162</v>
      </c>
    </row>
    <row r="4" spans="1:2" x14ac:dyDescent="0.3">
      <c r="A4" s="2" t="s">
        <v>158</v>
      </c>
      <c r="B4" s="6">
        <v>354642.85714285716</v>
      </c>
    </row>
    <row r="5" spans="1:2" x14ac:dyDescent="0.3">
      <c r="A5" s="2" t="s">
        <v>159</v>
      </c>
      <c r="B5" s="6">
        <v>408500</v>
      </c>
    </row>
    <row r="6" spans="1:2" x14ac:dyDescent="0.3">
      <c r="A6" s="2" t="s">
        <v>160</v>
      </c>
      <c r="B6" s="6">
        <v>500000</v>
      </c>
    </row>
    <row r="7" spans="1:2" x14ac:dyDescent="0.3">
      <c r="A7" s="2" t="s">
        <v>144</v>
      </c>
      <c r="B7" s="6">
        <v>401666.66666666669</v>
      </c>
    </row>
  </sheetData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0D46-9309-4F49-90E3-146D87EBCCC8}">
  <dimension ref="A3:B11"/>
  <sheetViews>
    <sheetView workbookViewId="0">
      <selection activeCell="A4" sqref="A4:B10"/>
      <pivotSelection pane="bottomRight" showHeader="1" extendable="1" axis="axisRow" max="8" activeRow="3" previousRow="9" click="1" r:id="rId1">
        <pivotArea dataOnly="0" axis="axisRow" fieldPosition="0">
          <references count="1">
            <reference field="4" count="7">
              <x v="0"/>
              <x v="2"/>
              <x v="3"/>
              <x v="4"/>
              <x v="5"/>
              <x v="6"/>
              <x v="7"/>
            </reference>
          </references>
        </pivotArea>
      </pivotSelection>
    </sheetView>
  </sheetViews>
  <sheetFormatPr baseColWidth="10" defaultRowHeight="14.4" x14ac:dyDescent="0.3"/>
  <cols>
    <col min="1" max="1" width="18.6640625" bestFit="1" customWidth="1"/>
    <col min="2" max="2" width="13" bestFit="1" customWidth="1"/>
  </cols>
  <sheetData>
    <row r="3" spans="1:2" x14ac:dyDescent="0.3">
      <c r="A3" s="12" t="s">
        <v>4</v>
      </c>
      <c r="B3" t="s">
        <v>152</v>
      </c>
    </row>
    <row r="4" spans="1:2" x14ac:dyDescent="0.3">
      <c r="A4" s="2" t="s">
        <v>24</v>
      </c>
      <c r="B4" s="6">
        <v>385000</v>
      </c>
    </row>
    <row r="5" spans="1:2" x14ac:dyDescent="0.3">
      <c r="A5" s="2" t="s">
        <v>19</v>
      </c>
      <c r="B5" s="6">
        <v>428000</v>
      </c>
    </row>
    <row r="6" spans="1:2" x14ac:dyDescent="0.3">
      <c r="A6" s="2" t="s">
        <v>12</v>
      </c>
      <c r="B6" s="6">
        <v>435833.33333333331</v>
      </c>
    </row>
    <row r="7" spans="1:2" x14ac:dyDescent="0.3">
      <c r="A7" s="2" t="s">
        <v>51</v>
      </c>
      <c r="B7" s="6">
        <v>347500</v>
      </c>
    </row>
    <row r="8" spans="1:2" x14ac:dyDescent="0.3">
      <c r="A8" s="2" t="s">
        <v>38</v>
      </c>
      <c r="B8" s="6">
        <v>423333.33333333331</v>
      </c>
    </row>
    <row r="9" spans="1:2" x14ac:dyDescent="0.3">
      <c r="A9" s="2" t="s">
        <v>60</v>
      </c>
      <c r="B9" s="6">
        <v>368750</v>
      </c>
    </row>
    <row r="10" spans="1:2" x14ac:dyDescent="0.3">
      <c r="A10" s="2" t="s">
        <v>29</v>
      </c>
      <c r="B10" s="6">
        <v>411666.66666666669</v>
      </c>
    </row>
    <row r="11" spans="1:2" x14ac:dyDescent="0.3">
      <c r="A11" s="2" t="s">
        <v>144</v>
      </c>
      <c r="B11" s="6">
        <v>401666.66666666669</v>
      </c>
    </row>
  </sheetData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595D-1653-4730-9045-5859AE8B190A}">
  <dimension ref="A3:B7"/>
  <sheetViews>
    <sheetView workbookViewId="0">
      <selection activeCell="A4" sqref="A4:B6"/>
      <pivotSelection pane="bottomRight" showHeader="1" extendable="1" axis="axisRow" max="4" activeRow="3" previousRow="5" click="1" r:id="rId1">
        <pivotArea dataOnly="0" axis="axisRow" fieldPosition="0">
          <references count="1">
            <reference field="10" count="3">
              <x v="0"/>
              <x v="1"/>
              <x v="2"/>
            </reference>
          </references>
        </pivotArea>
      </pivotSelection>
    </sheetView>
  </sheetViews>
  <sheetFormatPr baseColWidth="10" defaultRowHeight="14.4" x14ac:dyDescent="0.3"/>
  <cols>
    <col min="1" max="1" width="11.88671875" bestFit="1" customWidth="1"/>
    <col min="2" max="2" width="15" bestFit="1" customWidth="1"/>
  </cols>
  <sheetData>
    <row r="3" spans="1:2" x14ac:dyDescent="0.3">
      <c r="A3" s="12" t="s">
        <v>151</v>
      </c>
      <c r="B3" t="s">
        <v>145</v>
      </c>
    </row>
    <row r="4" spans="1:2" x14ac:dyDescent="0.3">
      <c r="A4" s="2" t="s">
        <v>14</v>
      </c>
      <c r="B4" s="6">
        <v>440250</v>
      </c>
    </row>
    <row r="5" spans="1:2" x14ac:dyDescent="0.3">
      <c r="A5" s="2" t="s">
        <v>62</v>
      </c>
      <c r="B5" s="6">
        <v>331250</v>
      </c>
    </row>
    <row r="6" spans="1:2" x14ac:dyDescent="0.3">
      <c r="A6" s="2" t="s">
        <v>25</v>
      </c>
      <c r="B6" s="6">
        <v>320000</v>
      </c>
    </row>
    <row r="7" spans="1:2" x14ac:dyDescent="0.3">
      <c r="A7" s="2" t="s">
        <v>144</v>
      </c>
      <c r="B7" s="6">
        <v>401666.66666666669</v>
      </c>
    </row>
  </sheetData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A702-7634-41BC-9FF5-A2F1BB3EEE3B}">
  <dimension ref="A3:B25"/>
  <sheetViews>
    <sheetView workbookViewId="0">
      <selection activeCell="B15" sqref="B15"/>
    </sheetView>
  </sheetViews>
  <sheetFormatPr baseColWidth="10" defaultRowHeight="14.4" x14ac:dyDescent="0.3"/>
  <cols>
    <col min="1" max="1" width="21.6640625" bestFit="1" customWidth="1"/>
    <col min="2" max="2" width="18.109375" bestFit="1" customWidth="1"/>
  </cols>
  <sheetData>
    <row r="3" spans="1:2" x14ac:dyDescent="0.3">
      <c r="A3" s="12" t="s">
        <v>5</v>
      </c>
      <c r="B3" t="s">
        <v>150</v>
      </c>
    </row>
    <row r="4" spans="1:2" x14ac:dyDescent="0.3">
      <c r="A4" s="2" t="s">
        <v>112</v>
      </c>
      <c r="B4" s="6">
        <v>1</v>
      </c>
    </row>
    <row r="5" spans="1:2" x14ac:dyDescent="0.3">
      <c r="A5" s="2" t="s">
        <v>43</v>
      </c>
      <c r="B5" s="6">
        <v>1</v>
      </c>
    </row>
    <row r="6" spans="1:2" x14ac:dyDescent="0.3">
      <c r="A6" s="2" t="s">
        <v>66</v>
      </c>
      <c r="B6" s="6">
        <v>1</v>
      </c>
    </row>
    <row r="7" spans="1:2" x14ac:dyDescent="0.3">
      <c r="A7" s="2" t="s">
        <v>109</v>
      </c>
      <c r="B7" s="6">
        <v>1</v>
      </c>
    </row>
    <row r="8" spans="1:2" x14ac:dyDescent="0.3">
      <c r="A8" s="2" t="s">
        <v>30</v>
      </c>
      <c r="B8" s="6">
        <v>2</v>
      </c>
    </row>
    <row r="9" spans="1:2" x14ac:dyDescent="0.3">
      <c r="A9" s="2" t="s">
        <v>39</v>
      </c>
      <c r="B9" s="6">
        <v>1</v>
      </c>
    </row>
    <row r="10" spans="1:2" x14ac:dyDescent="0.3">
      <c r="A10" s="2" t="s">
        <v>125</v>
      </c>
      <c r="B10" s="6">
        <v>1</v>
      </c>
    </row>
    <row r="11" spans="1:2" x14ac:dyDescent="0.3">
      <c r="A11" s="2" t="s">
        <v>24</v>
      </c>
      <c r="B11" s="6">
        <v>4</v>
      </c>
    </row>
    <row r="12" spans="1:2" x14ac:dyDescent="0.3">
      <c r="A12" s="2" t="s">
        <v>73</v>
      </c>
      <c r="B12" s="6">
        <v>1</v>
      </c>
    </row>
    <row r="13" spans="1:2" x14ac:dyDescent="0.3">
      <c r="A13" s="2" t="s">
        <v>20</v>
      </c>
      <c r="B13" s="6">
        <v>2</v>
      </c>
    </row>
    <row r="14" spans="1:2" x14ac:dyDescent="0.3">
      <c r="A14" s="2" t="s">
        <v>90</v>
      </c>
      <c r="B14" s="6">
        <v>1</v>
      </c>
    </row>
    <row r="15" spans="1:2" x14ac:dyDescent="0.3">
      <c r="A15" s="2" t="s">
        <v>56</v>
      </c>
      <c r="B15" s="6">
        <v>1</v>
      </c>
    </row>
    <row r="16" spans="1:2" x14ac:dyDescent="0.3">
      <c r="A16" s="2" t="s">
        <v>13</v>
      </c>
      <c r="B16" s="6">
        <v>2</v>
      </c>
    </row>
    <row r="17" spans="1:2" x14ac:dyDescent="0.3">
      <c r="A17" s="2" t="s">
        <v>84</v>
      </c>
      <c r="B17" s="6">
        <v>1</v>
      </c>
    </row>
    <row r="18" spans="1:2" x14ac:dyDescent="0.3">
      <c r="A18" s="2" t="s">
        <v>105</v>
      </c>
      <c r="B18" s="6">
        <v>2</v>
      </c>
    </row>
    <row r="19" spans="1:2" x14ac:dyDescent="0.3">
      <c r="A19" s="2" t="s">
        <v>119</v>
      </c>
      <c r="B19" s="6">
        <v>1</v>
      </c>
    </row>
    <row r="20" spans="1:2" x14ac:dyDescent="0.3">
      <c r="A20" s="2" t="s">
        <v>52</v>
      </c>
      <c r="B20" s="6">
        <v>1</v>
      </c>
    </row>
    <row r="21" spans="1:2" x14ac:dyDescent="0.3">
      <c r="A21" s="2" t="s">
        <v>98</v>
      </c>
      <c r="B21" s="6">
        <v>1</v>
      </c>
    </row>
    <row r="22" spans="1:2" x14ac:dyDescent="0.3">
      <c r="A22" s="2" t="s">
        <v>80</v>
      </c>
      <c r="B22" s="6">
        <v>1</v>
      </c>
    </row>
    <row r="23" spans="1:2" x14ac:dyDescent="0.3">
      <c r="A23" s="2" t="s">
        <v>61</v>
      </c>
      <c r="B23" s="6">
        <v>2</v>
      </c>
    </row>
    <row r="24" spans="1:2" x14ac:dyDescent="0.3">
      <c r="A24" s="2" t="s">
        <v>34</v>
      </c>
      <c r="B24" s="6">
        <v>2</v>
      </c>
    </row>
    <row r="25" spans="1:2" x14ac:dyDescent="0.3">
      <c r="A25" s="2" t="s">
        <v>144</v>
      </c>
      <c r="B25" s="6">
        <v>30</v>
      </c>
    </row>
  </sheetData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967D-E4D5-48DB-8137-CE4C34553F08}">
  <dimension ref="A3:B7"/>
  <sheetViews>
    <sheetView workbookViewId="0">
      <selection activeCell="A4" sqref="A4:B6"/>
    </sheetView>
  </sheetViews>
  <sheetFormatPr baseColWidth="10" defaultRowHeight="14.4" x14ac:dyDescent="0.3"/>
  <cols>
    <col min="1" max="1" width="11.88671875" bestFit="1" customWidth="1"/>
    <col min="2" max="2" width="18.109375" bestFit="1" customWidth="1"/>
  </cols>
  <sheetData>
    <row r="3" spans="1:2" x14ac:dyDescent="0.3">
      <c r="A3" s="12" t="s">
        <v>130</v>
      </c>
      <c r="B3" t="s">
        <v>150</v>
      </c>
    </row>
    <row r="4" spans="1:2" x14ac:dyDescent="0.3">
      <c r="A4" s="2" t="s">
        <v>14</v>
      </c>
      <c r="B4" s="6">
        <v>20</v>
      </c>
    </row>
    <row r="5" spans="1:2" x14ac:dyDescent="0.3">
      <c r="A5" s="2" t="s">
        <v>62</v>
      </c>
      <c r="B5" s="6">
        <v>4</v>
      </c>
    </row>
    <row r="6" spans="1:2" x14ac:dyDescent="0.3">
      <c r="A6" s="2" t="s">
        <v>25</v>
      </c>
      <c r="B6" s="6">
        <v>6</v>
      </c>
    </row>
    <row r="7" spans="1:2" x14ac:dyDescent="0.3">
      <c r="A7" s="2" t="s">
        <v>144</v>
      </c>
      <c r="B7" s="6">
        <v>30</v>
      </c>
    </row>
  </sheetData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6B2A-894B-42DD-8682-6BF81C558740}">
  <dimension ref="A3:B7"/>
  <sheetViews>
    <sheetView workbookViewId="0">
      <selection activeCell="A4" sqref="A4:B6"/>
    </sheetView>
  </sheetViews>
  <sheetFormatPr baseColWidth="10" defaultRowHeight="14.4" x14ac:dyDescent="0.3"/>
  <cols>
    <col min="1" max="1" width="19.5546875" bestFit="1" customWidth="1"/>
    <col min="2" max="2" width="21.21875" bestFit="1" customWidth="1"/>
  </cols>
  <sheetData>
    <row r="3" spans="1:2" x14ac:dyDescent="0.3">
      <c r="A3" s="12" t="s">
        <v>143</v>
      </c>
      <c r="B3" t="s">
        <v>142</v>
      </c>
    </row>
    <row r="4" spans="1:2" x14ac:dyDescent="0.3">
      <c r="A4" s="2" t="s">
        <v>158</v>
      </c>
      <c r="B4" s="6">
        <v>14</v>
      </c>
    </row>
    <row r="5" spans="1:2" x14ac:dyDescent="0.3">
      <c r="A5" s="2" t="s">
        <v>159</v>
      </c>
      <c r="B5" s="6">
        <v>10</v>
      </c>
    </row>
    <row r="6" spans="1:2" x14ac:dyDescent="0.3">
      <c r="A6" s="2" t="s">
        <v>160</v>
      </c>
      <c r="B6" s="6">
        <v>6</v>
      </c>
    </row>
    <row r="7" spans="1:2" x14ac:dyDescent="0.3">
      <c r="A7" s="2" t="s">
        <v>144</v>
      </c>
      <c r="B7" s="6">
        <v>30</v>
      </c>
    </row>
  </sheetData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9ED7-C940-4B45-964A-E4AEAAE800FC}">
  <dimension ref="A3:B10"/>
  <sheetViews>
    <sheetView workbookViewId="0">
      <selection activeCell="G23" sqref="G23"/>
    </sheetView>
  </sheetViews>
  <sheetFormatPr baseColWidth="10" defaultRowHeight="14.4" x14ac:dyDescent="0.3"/>
  <cols>
    <col min="1" max="1" width="19.6640625" bestFit="1" customWidth="1"/>
    <col min="2" max="2" width="22" bestFit="1" customWidth="1"/>
  </cols>
  <sheetData>
    <row r="3" spans="1:2" x14ac:dyDescent="0.3">
      <c r="A3" s="12" t="s">
        <v>147</v>
      </c>
      <c r="B3" t="s">
        <v>148</v>
      </c>
    </row>
    <row r="4" spans="1:2" x14ac:dyDescent="0.3">
      <c r="A4" s="2">
        <v>2019</v>
      </c>
      <c r="B4" s="6">
        <v>2</v>
      </c>
    </row>
    <row r="5" spans="1:2" x14ac:dyDescent="0.3">
      <c r="A5" s="2">
        <v>2020</v>
      </c>
      <c r="B5" s="6">
        <v>5</v>
      </c>
    </row>
    <row r="6" spans="1:2" x14ac:dyDescent="0.3">
      <c r="A6" s="2">
        <v>2021</v>
      </c>
      <c r="B6" s="6">
        <v>5</v>
      </c>
    </row>
    <row r="7" spans="1:2" x14ac:dyDescent="0.3">
      <c r="A7" s="2">
        <v>2022</v>
      </c>
      <c r="B7" s="6">
        <v>6</v>
      </c>
    </row>
    <row r="8" spans="1:2" x14ac:dyDescent="0.3">
      <c r="A8" s="2">
        <v>2023</v>
      </c>
      <c r="B8" s="6">
        <v>6</v>
      </c>
    </row>
    <row r="9" spans="1:2" x14ac:dyDescent="0.3">
      <c r="A9" s="2">
        <v>2024</v>
      </c>
      <c r="B9" s="6">
        <v>6</v>
      </c>
    </row>
    <row r="10" spans="1:2" x14ac:dyDescent="0.3">
      <c r="A10" s="2" t="s">
        <v>144</v>
      </c>
      <c r="B10" s="6">
        <v>30</v>
      </c>
    </row>
  </sheetData>
  <pageMargins left="0.7" right="0.7" top="0.75" bottom="0.75" header="0.3" footer="0.3"/>
  <pageSetup paperSize="9" orientation="portrait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4BED-9111-4989-A68F-722204EB4416}">
  <dimension ref="A3:B6"/>
  <sheetViews>
    <sheetView workbookViewId="0">
      <selection activeCell="A4" sqref="A4:B5"/>
    </sheetView>
  </sheetViews>
  <sheetFormatPr baseColWidth="10" defaultRowHeight="14.4" x14ac:dyDescent="0.3"/>
  <cols>
    <col min="1" max="1" width="11.88671875" bestFit="1" customWidth="1"/>
    <col min="2" max="2" width="15.5546875" bestFit="1" customWidth="1"/>
  </cols>
  <sheetData>
    <row r="3" spans="1:2" x14ac:dyDescent="0.3">
      <c r="A3" s="12" t="s">
        <v>157</v>
      </c>
      <c r="B3" t="s">
        <v>156</v>
      </c>
    </row>
    <row r="4" spans="1:2" x14ac:dyDescent="0.3">
      <c r="A4" s="2" t="s">
        <v>18</v>
      </c>
      <c r="B4" s="14">
        <v>377000</v>
      </c>
    </row>
    <row r="5" spans="1:2" x14ac:dyDescent="0.3">
      <c r="A5" s="2" t="s">
        <v>11</v>
      </c>
      <c r="B5" s="14">
        <v>426333.33333333331</v>
      </c>
    </row>
    <row r="6" spans="1:2" x14ac:dyDescent="0.3">
      <c r="A6" s="2" t="s">
        <v>144</v>
      </c>
      <c r="B6" s="14">
        <v>401666.66666666669</v>
      </c>
    </row>
  </sheetData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3C6AA-7699-4636-B07A-1F89596EA094}">
  <dimension ref="A3:B11"/>
  <sheetViews>
    <sheetView zoomScale="115" zoomScaleNormal="115" workbookViewId="0">
      <selection activeCell="C11" sqref="C11"/>
    </sheetView>
  </sheetViews>
  <sheetFormatPr baseColWidth="10" defaultRowHeight="14.4" x14ac:dyDescent="0.3"/>
  <cols>
    <col min="1" max="1" width="18.6640625" bestFit="1" customWidth="1"/>
    <col min="2" max="2" width="19.21875" bestFit="1" customWidth="1"/>
  </cols>
  <sheetData>
    <row r="3" spans="1:2" x14ac:dyDescent="0.3">
      <c r="A3" s="12" t="s">
        <v>4</v>
      </c>
      <c r="B3" t="s">
        <v>155</v>
      </c>
    </row>
    <row r="4" spans="1:2" x14ac:dyDescent="0.3">
      <c r="A4" s="2" t="s">
        <v>24</v>
      </c>
      <c r="B4" s="13">
        <v>3.4</v>
      </c>
    </row>
    <row r="5" spans="1:2" x14ac:dyDescent="0.3">
      <c r="A5" s="2" t="s">
        <v>19</v>
      </c>
      <c r="B5" s="13">
        <v>4.4000000000000004</v>
      </c>
    </row>
    <row r="6" spans="1:2" x14ac:dyDescent="0.3">
      <c r="A6" s="2" t="s">
        <v>12</v>
      </c>
      <c r="B6" s="13">
        <v>3.5</v>
      </c>
    </row>
    <row r="7" spans="1:2" x14ac:dyDescent="0.3">
      <c r="A7" s="2" t="s">
        <v>51</v>
      </c>
      <c r="B7" s="13">
        <v>4</v>
      </c>
    </row>
    <row r="8" spans="1:2" x14ac:dyDescent="0.3">
      <c r="A8" s="2" t="s">
        <v>38</v>
      </c>
      <c r="B8" s="13">
        <v>3.3333333333333335</v>
      </c>
    </row>
    <row r="9" spans="1:2" x14ac:dyDescent="0.3">
      <c r="A9" s="2" t="s">
        <v>60</v>
      </c>
      <c r="B9" s="13">
        <v>3.75</v>
      </c>
    </row>
    <row r="10" spans="1:2" x14ac:dyDescent="0.3">
      <c r="A10" s="2" t="s">
        <v>29</v>
      </c>
      <c r="B10" s="13">
        <v>4.666666666666667</v>
      </c>
    </row>
    <row r="11" spans="1:2" x14ac:dyDescent="0.3">
      <c r="A11" s="2" t="s">
        <v>144</v>
      </c>
      <c r="B11" s="6">
        <v>3.8333333333333335</v>
      </c>
    </row>
  </sheetData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31B2-893C-48BE-AD76-882A62EDC2FE}">
  <dimension ref="A3:B11"/>
  <sheetViews>
    <sheetView workbookViewId="0">
      <selection activeCell="E10" sqref="E10"/>
    </sheetView>
  </sheetViews>
  <sheetFormatPr baseColWidth="10" defaultRowHeight="14.4" x14ac:dyDescent="0.3"/>
  <cols>
    <col min="1" max="1" width="18.6640625" bestFit="1" customWidth="1"/>
    <col min="2" max="2" width="21.21875" bestFit="1" customWidth="1"/>
  </cols>
  <sheetData>
    <row r="3" spans="1:2" x14ac:dyDescent="0.3">
      <c r="A3" s="12" t="s">
        <v>4</v>
      </c>
      <c r="B3" t="s">
        <v>142</v>
      </c>
    </row>
    <row r="4" spans="1:2" x14ac:dyDescent="0.3">
      <c r="A4" s="2" t="s">
        <v>24</v>
      </c>
      <c r="B4" s="6">
        <v>5</v>
      </c>
    </row>
    <row r="5" spans="1:2" x14ac:dyDescent="0.3">
      <c r="A5" s="2" t="s">
        <v>19</v>
      </c>
      <c r="B5" s="6">
        <v>5</v>
      </c>
    </row>
    <row r="6" spans="1:2" x14ac:dyDescent="0.3">
      <c r="A6" s="2" t="s">
        <v>12</v>
      </c>
      <c r="B6" s="6">
        <v>6</v>
      </c>
    </row>
    <row r="7" spans="1:2" x14ac:dyDescent="0.3">
      <c r="A7" s="2" t="s">
        <v>51</v>
      </c>
      <c r="B7" s="6">
        <v>4</v>
      </c>
    </row>
    <row r="8" spans="1:2" x14ac:dyDescent="0.3">
      <c r="A8" s="2" t="s">
        <v>38</v>
      </c>
      <c r="B8" s="6">
        <v>3</v>
      </c>
    </row>
    <row r="9" spans="1:2" x14ac:dyDescent="0.3">
      <c r="A9" s="2" t="s">
        <v>60</v>
      </c>
      <c r="B9" s="6">
        <v>4</v>
      </c>
    </row>
    <row r="10" spans="1:2" x14ac:dyDescent="0.3">
      <c r="A10" s="2" t="s">
        <v>29</v>
      </c>
      <c r="B10" s="6">
        <v>3</v>
      </c>
    </row>
    <row r="11" spans="1:2" x14ac:dyDescent="0.3">
      <c r="A11" s="2" t="s">
        <v>144</v>
      </c>
      <c r="B11" s="6">
        <v>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6244-9248-4CAD-8690-840AEC950EB7}">
  <dimension ref="A1:E4"/>
  <sheetViews>
    <sheetView tabSelected="1" zoomScaleNormal="100" workbookViewId="0">
      <selection activeCell="B4" sqref="B4"/>
    </sheetView>
  </sheetViews>
  <sheetFormatPr baseColWidth="10" defaultRowHeight="14.4" x14ac:dyDescent="0.3"/>
  <cols>
    <col min="1" max="1" width="25" customWidth="1"/>
    <col min="2" max="2" width="24" customWidth="1"/>
    <col min="3" max="3" width="16.44140625" style="11" customWidth="1"/>
    <col min="4" max="4" width="20.33203125" customWidth="1"/>
    <col min="5" max="5" width="21.21875" customWidth="1"/>
  </cols>
  <sheetData>
    <row r="1" spans="1:5" x14ac:dyDescent="0.3">
      <c r="D1" s="21"/>
    </row>
    <row r="2" spans="1:5" x14ac:dyDescent="0.3">
      <c r="D2" s="20"/>
    </row>
    <row r="3" spans="1:5" ht="24" customHeight="1" x14ac:dyDescent="0.3">
      <c r="A3" s="10"/>
      <c r="B3" s="18" t="s">
        <v>172</v>
      </c>
      <c r="C3" s="19" t="s">
        <v>171</v>
      </c>
      <c r="D3" s="18" t="s">
        <v>140</v>
      </c>
      <c r="E3" s="18" t="s">
        <v>141</v>
      </c>
    </row>
    <row r="4" spans="1:5" x14ac:dyDescent="0.3">
      <c r="B4" s="15">
        <f>COUNTA(tbl_Employes[ID_Employé])</f>
        <v>30</v>
      </c>
      <c r="C4" s="16">
        <f>AVERAGE(RH_Employes_1[Salaire])</f>
        <v>401666.66666666669</v>
      </c>
      <c r="D4" s="17">
        <f>SUM(tbl_Employes[Salaire])</f>
        <v>12050000</v>
      </c>
      <c r="E4" s="15">
        <f>AVERAGE(RH_Employes_1[Ancienneté])</f>
        <v>3.8333333333333335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DEE3D2-42E3-4DDA-B875-A8B381AFFD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22</vt:i4>
      </vt:variant>
      <vt:variant>
        <vt:lpstr>Plages nommées</vt:lpstr>
      </vt:variant>
      <vt:variant>
        <vt:i4>1</vt:i4>
      </vt:variant>
    </vt:vector>
  </HeadingPairs>
  <TitlesOfParts>
    <vt:vector size="23" baseType="lpstr">
      <vt:lpstr>Employé</vt:lpstr>
      <vt:lpstr>Analyse_RH</vt:lpstr>
      <vt:lpstr>Effectif_Salaire_moyen_départem</vt:lpstr>
      <vt:lpstr>Masse_Salariale par Villes</vt:lpstr>
      <vt:lpstr>Tranche Salaire par_nbre_employ</vt:lpstr>
      <vt:lpstr>Salaire_Min_Max Départements</vt:lpstr>
      <vt:lpstr>Masse_Salariale_Departements</vt:lpstr>
      <vt:lpstr>Salaire_Departements</vt:lpstr>
      <vt:lpstr>Analyse_Genre</vt:lpstr>
      <vt:lpstr>Salaire Poste Moyen</vt:lpstr>
      <vt:lpstr>Effectif_Département et Genre</vt:lpstr>
      <vt:lpstr>Salaire Moyen par Ancienneté</vt:lpstr>
      <vt:lpstr>Salaire Moyen Departement</vt:lpstr>
      <vt:lpstr>Salaire_Moyenne par Vilees</vt:lpstr>
      <vt:lpstr>Analyse_Postes</vt:lpstr>
      <vt:lpstr>Analyse_Villes</vt:lpstr>
      <vt:lpstr>Employés_Tranche d'Ancienneté</vt:lpstr>
      <vt:lpstr>Recrutements_Annee</vt:lpstr>
      <vt:lpstr>Salaire moyen par genre</vt:lpstr>
      <vt:lpstr>Ancienneté Moyen par Départemen</vt:lpstr>
      <vt:lpstr>Analyse_Departements</vt:lpstr>
      <vt:lpstr>KPI_RH</vt:lpstr>
      <vt:lpstr>RH_Employes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ASSANE GASSAMA</dc:creator>
  <cp:lastModifiedBy>ASSANE GASSAMA</cp:lastModifiedBy>
  <dcterms:created xsi:type="dcterms:W3CDTF">2026-09-10T20:52:58Z</dcterms:created>
  <dcterms:modified xsi:type="dcterms:W3CDTF">2026-09-11T02:14:00Z</dcterms:modified>
</cp:coreProperties>
</file>